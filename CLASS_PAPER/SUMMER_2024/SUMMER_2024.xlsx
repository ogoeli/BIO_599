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u0-my.sharepoint.com/personal/ope4_nau_edu/Documents/Desktop/ACADEMIC_SEMSTER/FALL 2025/BIO_599/CLASS_PAPER/SUMMER_2024/"/>
    </mc:Choice>
  </mc:AlternateContent>
  <xr:revisionPtr revIDLastSave="6" documentId="8_{DBC70674-DD61-4528-8831-6116E7317274}" xr6:coauthVersionLast="47" xr6:coauthVersionMax="47" xr10:uidLastSave="{98E902AC-B364-4F19-AC28-15E9CDBA5EAB}"/>
  <bookViews>
    <workbookView xWindow="-120" yWindow="-120" windowWidth="29040" windowHeight="15720" xr2:uid="{7CEB4114-ABBC-423C-B949-33D80A22C707}"/>
  </bookViews>
  <sheets>
    <sheet name="df2_reshap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N2" i="1"/>
  <c r="O10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34" i="1"/>
  <c r="O35" i="1"/>
  <c r="O36" i="1"/>
  <c r="O37" i="1"/>
  <c r="O38" i="1"/>
  <c r="O39" i="1"/>
  <c r="O40" i="1"/>
  <c r="O41" i="1"/>
  <c r="O42" i="1"/>
  <c r="O43" i="1"/>
  <c r="O44" i="1"/>
  <c r="O45" i="1"/>
  <c r="O88" i="1"/>
  <c r="O89" i="1"/>
  <c r="O92" i="1"/>
  <c r="O93" i="1"/>
  <c r="O94" i="1"/>
  <c r="O95" i="1"/>
  <c r="O98" i="1"/>
  <c r="O99" i="1"/>
  <c r="O100" i="1"/>
  <c r="O102" i="1"/>
  <c r="O103" i="1"/>
  <c r="O114" i="1"/>
  <c r="O115" i="1"/>
  <c r="O116" i="1"/>
  <c r="O117" i="1"/>
  <c r="O96" i="1"/>
  <c r="O9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4" i="1"/>
  <c r="N35" i="1"/>
  <c r="N36" i="1"/>
  <c r="N37" i="1"/>
  <c r="N38" i="1"/>
  <c r="N39" i="1"/>
  <c r="N40" i="1"/>
  <c r="N41" i="1"/>
  <c r="N42" i="1"/>
  <c r="N43" i="1"/>
  <c r="N44" i="1"/>
  <c r="N45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2" i="1"/>
  <c r="N93" i="1"/>
  <c r="N94" i="1"/>
  <c r="N95" i="1"/>
  <c r="N98" i="1"/>
  <c r="N99" i="1"/>
  <c r="N100" i="1"/>
  <c r="N101" i="1"/>
  <c r="N102" i="1"/>
  <c r="N103" i="1"/>
  <c r="N106" i="1"/>
  <c r="N107" i="1"/>
  <c r="N108" i="1"/>
  <c r="N109" i="1"/>
  <c r="N110" i="1"/>
  <c r="N111" i="1"/>
  <c r="N114" i="1"/>
  <c r="N115" i="1"/>
  <c r="N116" i="1"/>
  <c r="N117" i="1"/>
  <c r="N96" i="1"/>
  <c r="N9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96" i="1"/>
  <c r="A9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2" i="1"/>
</calcChain>
</file>

<file path=xl/sharedStrings.xml><?xml version="1.0" encoding="utf-8"?>
<sst xmlns="http://schemas.openxmlformats.org/spreadsheetml/2006/main" count="924" uniqueCount="113">
  <si>
    <t>DBH</t>
  </si>
  <si>
    <t>Height</t>
  </si>
  <si>
    <t>SP_CODE</t>
  </si>
  <si>
    <t>Level</t>
  </si>
  <si>
    <t>WP</t>
  </si>
  <si>
    <t>FW</t>
  </si>
  <si>
    <t>DW</t>
  </si>
  <si>
    <t>LWC</t>
  </si>
  <si>
    <t>Time</t>
  </si>
  <si>
    <t>Year</t>
  </si>
  <si>
    <t>TW</t>
  </si>
  <si>
    <t>AP-P1-T1</t>
  </si>
  <si>
    <t>Southwest White pine</t>
  </si>
  <si>
    <t>L1</t>
  </si>
  <si>
    <t>L2</t>
  </si>
  <si>
    <t>Corkbark fir</t>
  </si>
  <si>
    <t>AP-P2-T1</t>
  </si>
  <si>
    <t>Douglas fir</t>
  </si>
  <si>
    <t>AP-P2-T2</t>
  </si>
  <si>
    <t>White fir</t>
  </si>
  <si>
    <t>AP-P3-T1</t>
  </si>
  <si>
    <t>AP-P3-T2</t>
  </si>
  <si>
    <t>Blue spruce</t>
  </si>
  <si>
    <t>AP-P3-T3</t>
  </si>
  <si>
    <t>ARB-P1-T1</t>
  </si>
  <si>
    <t>Pinus Ponderosa</t>
  </si>
  <si>
    <t>ARB-P1-T2</t>
  </si>
  <si>
    <t>ARB-P1-T3</t>
  </si>
  <si>
    <t>ARB-P1-T4</t>
  </si>
  <si>
    <t>ARB-P1-T5</t>
  </si>
  <si>
    <t>ARB-P1-T6</t>
  </si>
  <si>
    <t>BR-P1-T1</t>
  </si>
  <si>
    <t>Juniper monosperm</t>
  </si>
  <si>
    <t>NA</t>
  </si>
  <si>
    <t>FR-P1-T1</t>
  </si>
  <si>
    <t>FR-P1-T2</t>
  </si>
  <si>
    <t>FR-P2-T1</t>
  </si>
  <si>
    <t>FR-P2-T2</t>
  </si>
  <si>
    <t>FR-P2-T3</t>
  </si>
  <si>
    <t>FR-P3-T1</t>
  </si>
  <si>
    <t>FR-P3-T2</t>
  </si>
  <si>
    <t>FR-P3-T3</t>
  </si>
  <si>
    <t>FR-P4-T1</t>
  </si>
  <si>
    <t>FR-P4-T2</t>
  </si>
  <si>
    <t>FR-P5-T1</t>
  </si>
  <si>
    <t>FR-P5-T2</t>
  </si>
  <si>
    <t>JD-P25-T2</t>
  </si>
  <si>
    <t>JD-P25-T3</t>
  </si>
  <si>
    <t>JD-P7-T1</t>
  </si>
  <si>
    <t>Pinyon Pine</t>
  </si>
  <si>
    <t>JD-P7-T2</t>
  </si>
  <si>
    <t>KB-P1-T1</t>
  </si>
  <si>
    <t>KB-P1-T2</t>
  </si>
  <si>
    <t>KB-P1-T3</t>
  </si>
  <si>
    <t>KB-P1-T4</t>
  </si>
  <si>
    <t>KB-P2-T1</t>
  </si>
  <si>
    <t>KB-P2-T2</t>
  </si>
  <si>
    <t>KB-P2-T3</t>
  </si>
  <si>
    <t>KB-P2-T4</t>
  </si>
  <si>
    <t>KB-P3-T1</t>
  </si>
  <si>
    <t>KB-P3-T2</t>
  </si>
  <si>
    <t>KB-P3-T3</t>
  </si>
  <si>
    <t>KB-P3-T4</t>
  </si>
  <si>
    <t>LM-P1-T1</t>
  </si>
  <si>
    <t>LM-P1-T2</t>
  </si>
  <si>
    <t>LM-P2-T1</t>
  </si>
  <si>
    <t>LM-P2-T2</t>
  </si>
  <si>
    <t>LM-P2-T4</t>
  </si>
  <si>
    <t>LM-P2-T5</t>
  </si>
  <si>
    <t>Gambel oak</t>
  </si>
  <si>
    <t>LM-P2-T6</t>
  </si>
  <si>
    <t>ML-P1-T1</t>
  </si>
  <si>
    <t>ML-P1-T2</t>
  </si>
  <si>
    <t>ML-P1-T3</t>
  </si>
  <si>
    <t>ML-P1-T4</t>
  </si>
  <si>
    <t>ML-P1-T5</t>
  </si>
  <si>
    <t>ML-P2-T1</t>
  </si>
  <si>
    <t>ML-P2-T2</t>
  </si>
  <si>
    <t>LM-P2-T3</t>
  </si>
  <si>
    <t>ML-P2-T3</t>
  </si>
  <si>
    <t>SB-P1-T1</t>
  </si>
  <si>
    <t>SB-P1-T2</t>
  </si>
  <si>
    <t>SB-P1-T3</t>
  </si>
  <si>
    <t>SL-P1-T1</t>
  </si>
  <si>
    <t>SL-P1-T2</t>
  </si>
  <si>
    <t>TO-P1-T1</t>
  </si>
  <si>
    <t>TO-P1-T2</t>
  </si>
  <si>
    <t>TO-P1-T3</t>
  </si>
  <si>
    <t>RWC</t>
  </si>
  <si>
    <t>Tree_name</t>
  </si>
  <si>
    <t>PIST</t>
  </si>
  <si>
    <t>PSME</t>
  </si>
  <si>
    <t>ABCO</t>
  </si>
  <si>
    <t>ABLA</t>
  </si>
  <si>
    <t>PIPU</t>
  </si>
  <si>
    <t>PIPO</t>
  </si>
  <si>
    <t>JUMO</t>
  </si>
  <si>
    <t>POTR</t>
  </si>
  <si>
    <t>PIED</t>
  </si>
  <si>
    <t>PIEN</t>
  </si>
  <si>
    <t>JUOS</t>
  </si>
  <si>
    <t>QUGA</t>
  </si>
  <si>
    <t>Dendrometer</t>
  </si>
  <si>
    <t>REPS</t>
  </si>
  <si>
    <t>Mid_Day</t>
  </si>
  <si>
    <t>Quaking Aspen</t>
  </si>
  <si>
    <t>Engelmann spruce</t>
  </si>
  <si>
    <t>Juniper Osteosperm</t>
  </si>
  <si>
    <t>BR-P1-T2</t>
  </si>
  <si>
    <t>PLOT</t>
  </si>
  <si>
    <t>Species</t>
  </si>
  <si>
    <t>Stress_Level</t>
  </si>
  <si>
    <t>JD-P25-T1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</si>
</sst>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rial"/>
    </font>
    <font>
      <sz val="11"/>
      <color theme="1"/>
      <name val="Aptos Narrow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" fillId="0" borderId="0" xfId="0" applyFont="1"/>
    <xf numFmtId="0" fontId="21" fillId="0" borderId="10" xfId="0" applyFont="1" applyBorder="1"/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5695-4BE3-4FFB-ACE2-68172B227826}">
  <dimension ref="A1:R135"/>
  <sheetViews>
    <sheetView tabSelected="1" topLeftCell="A40" workbookViewId="0">
      <selection activeCell="B56" sqref="B56"/>
    </sheetView>
  </sheetViews>
  <sheetFormatPr defaultRowHeight="15" x14ac:dyDescent="0.25"/>
  <cols>
    <col min="6" max="6" width="8.7109375" style="3" customWidth="1"/>
    <col min="18" max="18" width="8.7109375" customWidth="1"/>
  </cols>
  <sheetData>
    <row r="1" spans="1:18" x14ac:dyDescent="0.25">
      <c r="A1" t="s">
        <v>109</v>
      </c>
      <c r="B1" t="s">
        <v>89</v>
      </c>
      <c r="C1" t="s">
        <v>0</v>
      </c>
      <c r="D1" t="s">
        <v>1</v>
      </c>
      <c r="E1" t="s">
        <v>110</v>
      </c>
      <c r="F1" s="2" t="s">
        <v>2</v>
      </c>
      <c r="G1" s="7" t="s">
        <v>111</v>
      </c>
      <c r="H1" t="s">
        <v>103</v>
      </c>
      <c r="I1" t="s">
        <v>3</v>
      </c>
      <c r="J1" t="s">
        <v>4</v>
      </c>
      <c r="K1" t="s">
        <v>5</v>
      </c>
      <c r="L1" t="s">
        <v>6</v>
      </c>
      <c r="M1" t="s">
        <v>10</v>
      </c>
      <c r="N1" t="s">
        <v>7</v>
      </c>
      <c r="O1" t="s">
        <v>88</v>
      </c>
      <c r="P1" t="s">
        <v>8</v>
      </c>
      <c r="Q1" t="s">
        <v>9</v>
      </c>
      <c r="R1" s="5" t="s">
        <v>102</v>
      </c>
    </row>
    <row r="2" spans="1:18" x14ac:dyDescent="0.25">
      <c r="A2" s="1" t="str">
        <f t="shared" ref="A2:A33" si="0">LEFT(B2,FIND("-",B2)-1)</f>
        <v>AP</v>
      </c>
      <c r="B2" t="s">
        <v>11</v>
      </c>
      <c r="C2">
        <v>48.8</v>
      </c>
      <c r="D2">
        <v>22.04</v>
      </c>
      <c r="E2" t="s">
        <v>12</v>
      </c>
      <c r="F2" s="2" t="s">
        <v>90</v>
      </c>
      <c r="G2">
        <v>8</v>
      </c>
      <c r="H2">
        <v>1</v>
      </c>
      <c r="I2" t="s">
        <v>13</v>
      </c>
      <c r="J2">
        <v>1.4930000000000001</v>
      </c>
      <c r="K2">
        <v>4.1379000000000001</v>
      </c>
      <c r="L2">
        <v>1.7181</v>
      </c>
      <c r="M2">
        <v>5.3154000000000003</v>
      </c>
      <c r="N2">
        <f>(K2-L2)/K2</f>
        <v>0.58478938592039453</v>
      </c>
      <c r="O2">
        <f>(K2-L2)/(M2-L2)</f>
        <v>0.67267117004419985</v>
      </c>
      <c r="P2" t="s">
        <v>104</v>
      </c>
      <c r="Q2">
        <v>2024</v>
      </c>
      <c r="R2" s="4">
        <v>92246682</v>
      </c>
    </row>
    <row r="3" spans="1:18" x14ac:dyDescent="0.25">
      <c r="A3" s="1" t="str">
        <f t="shared" si="0"/>
        <v>AP</v>
      </c>
      <c r="B3" t="s">
        <v>11</v>
      </c>
      <c r="C3">
        <v>48.8</v>
      </c>
      <c r="D3">
        <v>22.04</v>
      </c>
      <c r="E3" t="s">
        <v>12</v>
      </c>
      <c r="F3" s="2" t="s">
        <v>90</v>
      </c>
      <c r="G3">
        <v>8</v>
      </c>
      <c r="H3">
        <v>1</v>
      </c>
      <c r="I3" t="s">
        <v>14</v>
      </c>
      <c r="J3">
        <v>1.79</v>
      </c>
      <c r="K3">
        <v>10.8345</v>
      </c>
      <c r="L3">
        <v>5.3019999999999996</v>
      </c>
      <c r="M3">
        <v>12.3538</v>
      </c>
      <c r="N3">
        <f t="shared" ref="N3:N29" si="1">(K3-L3)/K3</f>
        <v>0.51063731598135587</v>
      </c>
      <c r="O3">
        <f t="shared" ref="O3:O25" si="2">(K3-L3)/(M3-L3)</f>
        <v>0.78455146203806125</v>
      </c>
      <c r="P3" t="s">
        <v>104</v>
      </c>
      <c r="Q3">
        <v>2024</v>
      </c>
      <c r="R3" s="4">
        <v>92246682</v>
      </c>
    </row>
    <row r="4" spans="1:18" x14ac:dyDescent="0.25">
      <c r="A4" s="1" t="str">
        <f t="shared" si="0"/>
        <v>AP</v>
      </c>
      <c r="B4" t="s">
        <v>16</v>
      </c>
      <c r="C4">
        <v>58.63</v>
      </c>
      <c r="D4">
        <v>30.45</v>
      </c>
      <c r="E4" t="s">
        <v>17</v>
      </c>
      <c r="F4" s="2" t="s">
        <v>91</v>
      </c>
      <c r="G4">
        <v>6</v>
      </c>
      <c r="H4">
        <v>1</v>
      </c>
      <c r="I4" t="s">
        <v>13</v>
      </c>
      <c r="J4">
        <v>2.5670000000000002</v>
      </c>
      <c r="K4">
        <v>1.6546000000000001</v>
      </c>
      <c r="L4">
        <v>0.87949999999999995</v>
      </c>
      <c r="M4">
        <v>2.0133000000000001</v>
      </c>
      <c r="N4">
        <f t="shared" si="1"/>
        <v>0.46845158950803822</v>
      </c>
      <c r="O4">
        <f t="shared" si="2"/>
        <v>0.68363026988886932</v>
      </c>
      <c r="P4" t="s">
        <v>104</v>
      </c>
      <c r="Q4">
        <v>2024</v>
      </c>
      <c r="R4" s="4">
        <v>92246646</v>
      </c>
    </row>
    <row r="5" spans="1:18" x14ac:dyDescent="0.25">
      <c r="A5" s="1" t="str">
        <f t="shared" si="0"/>
        <v>AP</v>
      </c>
      <c r="B5" t="s">
        <v>16</v>
      </c>
      <c r="C5">
        <v>58.63</v>
      </c>
      <c r="D5">
        <v>30.45</v>
      </c>
      <c r="E5" t="s">
        <v>17</v>
      </c>
      <c r="F5" s="2" t="s">
        <v>91</v>
      </c>
      <c r="G5">
        <v>6</v>
      </c>
      <c r="H5">
        <v>1</v>
      </c>
      <c r="I5" t="s">
        <v>14</v>
      </c>
      <c r="J5">
        <v>2.468</v>
      </c>
      <c r="K5">
        <v>3.2456</v>
      </c>
      <c r="L5">
        <v>1.7607999999999999</v>
      </c>
      <c r="M5">
        <v>4.0114000000000001</v>
      </c>
      <c r="N5">
        <f t="shared" si="1"/>
        <v>0.45748089721469071</v>
      </c>
      <c r="O5">
        <f t="shared" si="2"/>
        <v>0.65973518172931656</v>
      </c>
      <c r="P5" t="s">
        <v>104</v>
      </c>
      <c r="Q5">
        <v>2024</v>
      </c>
      <c r="R5" s="4">
        <v>92246646</v>
      </c>
    </row>
    <row r="6" spans="1:18" x14ac:dyDescent="0.25">
      <c r="A6" s="1" t="str">
        <f t="shared" si="0"/>
        <v>AP</v>
      </c>
      <c r="B6" t="s">
        <v>18</v>
      </c>
      <c r="C6">
        <v>54.81</v>
      </c>
      <c r="D6">
        <v>15.15</v>
      </c>
      <c r="E6" t="s">
        <v>19</v>
      </c>
      <c r="F6" s="2" t="s">
        <v>92</v>
      </c>
      <c r="G6">
        <v>6</v>
      </c>
      <c r="H6">
        <v>1</v>
      </c>
      <c r="I6" t="s">
        <v>13</v>
      </c>
      <c r="J6">
        <v>1.2629999999999999</v>
      </c>
      <c r="K6">
        <v>6.2065000000000001</v>
      </c>
      <c r="L6">
        <v>2.0065</v>
      </c>
      <c r="M6">
        <v>6.7876000000000003</v>
      </c>
      <c r="N6">
        <f t="shared" si="1"/>
        <v>0.676709900910336</v>
      </c>
      <c r="O6">
        <f t="shared" si="2"/>
        <v>0.87845893204492687</v>
      </c>
      <c r="P6" t="s">
        <v>104</v>
      </c>
      <c r="Q6">
        <v>2024</v>
      </c>
      <c r="R6" s="4">
        <v>92246647</v>
      </c>
    </row>
    <row r="7" spans="1:18" x14ac:dyDescent="0.25">
      <c r="A7" s="1" t="str">
        <f t="shared" si="0"/>
        <v>AP</v>
      </c>
      <c r="B7" t="s">
        <v>18</v>
      </c>
      <c r="C7">
        <v>54.81</v>
      </c>
      <c r="D7">
        <v>15.15</v>
      </c>
      <c r="E7" t="s">
        <v>19</v>
      </c>
      <c r="F7" s="2" t="s">
        <v>92</v>
      </c>
      <c r="G7">
        <v>6</v>
      </c>
      <c r="H7">
        <v>1</v>
      </c>
      <c r="I7" t="s">
        <v>14</v>
      </c>
      <c r="J7">
        <v>1.593</v>
      </c>
      <c r="K7">
        <v>8.3734000000000002</v>
      </c>
      <c r="L7">
        <v>3.0796999999999999</v>
      </c>
      <c r="M7">
        <v>8.9541000000000004</v>
      </c>
      <c r="N7">
        <f t="shared" si="1"/>
        <v>0.63220436143024339</v>
      </c>
      <c r="O7">
        <f t="shared" si="2"/>
        <v>0.90114735121884781</v>
      </c>
      <c r="P7" t="s">
        <v>104</v>
      </c>
      <c r="Q7">
        <v>2024</v>
      </c>
      <c r="R7" s="4">
        <v>92246647</v>
      </c>
    </row>
    <row r="8" spans="1:18" x14ac:dyDescent="0.25">
      <c r="A8" s="1" t="str">
        <f t="shared" si="0"/>
        <v>AP</v>
      </c>
      <c r="B8" t="s">
        <v>20</v>
      </c>
      <c r="C8">
        <v>28.65</v>
      </c>
      <c r="D8">
        <v>20.7</v>
      </c>
      <c r="E8" t="s">
        <v>15</v>
      </c>
      <c r="F8" s="2" t="s">
        <v>93</v>
      </c>
      <c r="G8">
        <v>3</v>
      </c>
      <c r="H8">
        <v>1</v>
      </c>
      <c r="I8" t="s">
        <v>13</v>
      </c>
      <c r="J8">
        <v>3.0939999999999999</v>
      </c>
      <c r="K8">
        <v>5.3098999999999998</v>
      </c>
      <c r="L8">
        <v>3.0602999999999998</v>
      </c>
      <c r="M8">
        <v>7.8312999999999997</v>
      </c>
      <c r="N8">
        <f t="shared" si="1"/>
        <v>0.42366146255108383</v>
      </c>
      <c r="O8">
        <f t="shared" si="2"/>
        <v>0.4715154055753511</v>
      </c>
      <c r="P8" t="s">
        <v>104</v>
      </c>
      <c r="Q8">
        <v>2024</v>
      </c>
      <c r="R8" s="4">
        <v>92246648</v>
      </c>
    </row>
    <row r="9" spans="1:18" x14ac:dyDescent="0.25">
      <c r="A9" s="1" t="str">
        <f t="shared" si="0"/>
        <v>AP</v>
      </c>
      <c r="B9" t="s">
        <v>20</v>
      </c>
      <c r="C9">
        <v>28.65</v>
      </c>
      <c r="D9">
        <v>20.7</v>
      </c>
      <c r="E9" t="s">
        <v>15</v>
      </c>
      <c r="F9" s="2" t="s">
        <v>93</v>
      </c>
      <c r="G9">
        <v>3</v>
      </c>
      <c r="H9">
        <v>1</v>
      </c>
      <c r="I9" t="s">
        <v>14</v>
      </c>
      <c r="J9">
        <v>2.89</v>
      </c>
      <c r="K9">
        <v>4.8749000000000002</v>
      </c>
      <c r="L9">
        <v>3.0200999999999998</v>
      </c>
      <c r="M9">
        <v>7.1508000000000003</v>
      </c>
      <c r="N9">
        <f t="shared" si="1"/>
        <v>0.38047959958152994</v>
      </c>
      <c r="O9">
        <f t="shared" si="2"/>
        <v>0.44902800978042462</v>
      </c>
      <c r="P9" t="s">
        <v>104</v>
      </c>
      <c r="Q9">
        <v>2024</v>
      </c>
      <c r="R9" s="4">
        <v>92246648</v>
      </c>
    </row>
    <row r="10" spans="1:18" x14ac:dyDescent="0.25">
      <c r="A10" s="1" t="str">
        <f t="shared" si="0"/>
        <v>AP</v>
      </c>
      <c r="B10" t="s">
        <v>21</v>
      </c>
      <c r="C10">
        <v>28.97</v>
      </c>
      <c r="D10">
        <v>18.350000000000001</v>
      </c>
      <c r="E10" t="s">
        <v>22</v>
      </c>
      <c r="F10" s="2" t="s">
        <v>94</v>
      </c>
      <c r="G10">
        <v>4</v>
      </c>
      <c r="H10">
        <v>1</v>
      </c>
      <c r="I10" t="s">
        <v>13</v>
      </c>
      <c r="J10">
        <v>1.85</v>
      </c>
      <c r="K10">
        <v>5.4269999999999996</v>
      </c>
      <c r="L10">
        <v>2.8626</v>
      </c>
      <c r="M10">
        <v>6.6337999999999999</v>
      </c>
      <c r="N10">
        <f t="shared" si="1"/>
        <v>0.4725262576008844</v>
      </c>
      <c r="O10">
        <f t="shared" si="2"/>
        <v>0.67999575731862527</v>
      </c>
      <c r="P10" t="s">
        <v>104</v>
      </c>
      <c r="Q10">
        <v>2024</v>
      </c>
      <c r="R10" s="4">
        <v>92246649</v>
      </c>
    </row>
    <row r="11" spans="1:18" x14ac:dyDescent="0.25">
      <c r="A11" s="1" t="str">
        <f t="shared" si="0"/>
        <v>AP</v>
      </c>
      <c r="B11" t="s">
        <v>21</v>
      </c>
      <c r="C11">
        <v>28.97</v>
      </c>
      <c r="D11">
        <v>18.350000000000001</v>
      </c>
      <c r="E11" t="s">
        <v>22</v>
      </c>
      <c r="F11" s="2" t="s">
        <v>94</v>
      </c>
      <c r="G11">
        <v>4</v>
      </c>
      <c r="H11">
        <v>1</v>
      </c>
      <c r="I11" t="s">
        <v>14</v>
      </c>
      <c r="J11">
        <v>2.9510000000000001</v>
      </c>
      <c r="K11">
        <v>7.617</v>
      </c>
      <c r="L11">
        <v>4.5884</v>
      </c>
      <c r="M11">
        <v>9.9577000000000009</v>
      </c>
      <c r="N11">
        <f t="shared" si="1"/>
        <v>0.39761060785085989</v>
      </c>
      <c r="O11">
        <f t="shared" si="2"/>
        <v>0.56405862961652342</v>
      </c>
      <c r="P11" t="s">
        <v>104</v>
      </c>
      <c r="Q11">
        <v>2024</v>
      </c>
      <c r="R11" s="4">
        <v>92246649</v>
      </c>
    </row>
    <row r="12" spans="1:18" x14ac:dyDescent="0.25">
      <c r="A12" s="1" t="str">
        <f t="shared" si="0"/>
        <v>AP</v>
      </c>
      <c r="B12" t="s">
        <v>23</v>
      </c>
      <c r="C12">
        <v>40.17</v>
      </c>
      <c r="D12">
        <v>17.739999999999998</v>
      </c>
      <c r="E12" t="s">
        <v>22</v>
      </c>
      <c r="F12" s="2" t="s">
        <v>94</v>
      </c>
      <c r="G12">
        <v>7</v>
      </c>
      <c r="H12">
        <v>1</v>
      </c>
      <c r="I12" t="s">
        <v>13</v>
      </c>
      <c r="J12">
        <v>1.891</v>
      </c>
      <c r="K12">
        <v>1.5844</v>
      </c>
      <c r="L12">
        <v>0.66110000000000002</v>
      </c>
      <c r="M12">
        <v>1.8762000000000001</v>
      </c>
      <c r="N12">
        <f t="shared" si="1"/>
        <v>0.58274425650088357</v>
      </c>
      <c r="O12">
        <f t="shared" si="2"/>
        <v>0.75985515595424247</v>
      </c>
      <c r="P12" t="s">
        <v>104</v>
      </c>
      <c r="Q12">
        <v>2024</v>
      </c>
      <c r="R12" s="4">
        <v>92246650</v>
      </c>
    </row>
    <row r="13" spans="1:18" x14ac:dyDescent="0.25">
      <c r="A13" s="1" t="str">
        <f t="shared" si="0"/>
        <v>AP</v>
      </c>
      <c r="B13" t="s">
        <v>23</v>
      </c>
      <c r="C13">
        <v>40.17</v>
      </c>
      <c r="D13">
        <v>17.739999999999998</v>
      </c>
      <c r="E13" t="s">
        <v>22</v>
      </c>
      <c r="F13" s="2" t="s">
        <v>94</v>
      </c>
      <c r="G13">
        <v>7</v>
      </c>
      <c r="H13">
        <v>1</v>
      </c>
      <c r="I13" t="s">
        <v>14</v>
      </c>
      <c r="J13">
        <v>2.048</v>
      </c>
      <c r="K13">
        <v>4.1463000000000001</v>
      </c>
      <c r="L13">
        <v>1.9518</v>
      </c>
      <c r="M13">
        <v>5.0682</v>
      </c>
      <c r="N13">
        <f t="shared" si="1"/>
        <v>0.52926705737645618</v>
      </c>
      <c r="O13">
        <f t="shared" si="2"/>
        <v>0.70417789757412397</v>
      </c>
      <c r="P13" t="s">
        <v>104</v>
      </c>
      <c r="Q13">
        <v>2024</v>
      </c>
      <c r="R13" s="4">
        <v>92246650</v>
      </c>
    </row>
    <row r="14" spans="1:18" x14ac:dyDescent="0.25">
      <c r="A14" s="1" t="str">
        <f t="shared" si="0"/>
        <v>ARB</v>
      </c>
      <c r="B14" t="s">
        <v>24</v>
      </c>
      <c r="C14">
        <v>52.043999999999997</v>
      </c>
      <c r="D14">
        <v>15.1</v>
      </c>
      <c r="E14" t="s">
        <v>25</v>
      </c>
      <c r="F14" s="2" t="s">
        <v>95</v>
      </c>
      <c r="G14">
        <v>10</v>
      </c>
      <c r="H14">
        <v>1</v>
      </c>
      <c r="I14" t="s">
        <v>13</v>
      </c>
      <c r="J14">
        <v>2.476</v>
      </c>
      <c r="K14">
        <v>0.54410000000000003</v>
      </c>
      <c r="L14">
        <v>0.27929999999999999</v>
      </c>
      <c r="M14">
        <v>0.58819999999999995</v>
      </c>
      <c r="N14">
        <f t="shared" si="1"/>
        <v>0.48667524352141156</v>
      </c>
      <c r="O14">
        <f t="shared" si="2"/>
        <v>0.8572353512463583</v>
      </c>
      <c r="P14" t="s">
        <v>104</v>
      </c>
      <c r="Q14">
        <v>2024</v>
      </c>
      <c r="R14" s="4">
        <v>92240363</v>
      </c>
    </row>
    <row r="15" spans="1:18" x14ac:dyDescent="0.25">
      <c r="A15" s="1" t="str">
        <f t="shared" si="0"/>
        <v>ARB</v>
      </c>
      <c r="B15" t="s">
        <v>24</v>
      </c>
      <c r="C15">
        <v>52.043999999999997</v>
      </c>
      <c r="D15">
        <v>15.1</v>
      </c>
      <c r="E15" t="s">
        <v>25</v>
      </c>
      <c r="F15" s="2" t="s">
        <v>95</v>
      </c>
      <c r="G15">
        <v>10</v>
      </c>
      <c r="H15">
        <v>1</v>
      </c>
      <c r="I15" t="s">
        <v>14</v>
      </c>
      <c r="J15">
        <v>2.952</v>
      </c>
      <c r="K15">
        <v>0.49259999999999998</v>
      </c>
      <c r="L15">
        <v>0.2485</v>
      </c>
      <c r="M15">
        <v>0.58579999999999999</v>
      </c>
      <c r="N15">
        <f t="shared" si="1"/>
        <v>0.49553390174583839</v>
      </c>
      <c r="O15">
        <f t="shared" si="2"/>
        <v>0.72368811147346568</v>
      </c>
      <c r="P15" t="s">
        <v>104</v>
      </c>
      <c r="Q15">
        <v>2024</v>
      </c>
      <c r="R15" s="4">
        <v>92240363</v>
      </c>
    </row>
    <row r="16" spans="1:18" x14ac:dyDescent="0.25">
      <c r="A16" s="1" t="str">
        <f t="shared" si="0"/>
        <v>ARB</v>
      </c>
      <c r="B16" t="s">
        <v>26</v>
      </c>
      <c r="C16">
        <v>31.131</v>
      </c>
      <c r="D16">
        <v>15.5</v>
      </c>
      <c r="E16" t="s">
        <v>25</v>
      </c>
      <c r="F16" s="2" t="s">
        <v>95</v>
      </c>
      <c r="G16">
        <v>10</v>
      </c>
      <c r="H16">
        <v>1</v>
      </c>
      <c r="I16" t="s">
        <v>13</v>
      </c>
      <c r="J16">
        <v>2.3679999999999999</v>
      </c>
      <c r="K16">
        <v>0.435</v>
      </c>
      <c r="L16">
        <v>0.20649999999999999</v>
      </c>
      <c r="M16">
        <v>0.49280000000000002</v>
      </c>
      <c r="N16">
        <f t="shared" si="1"/>
        <v>0.52528735632183909</v>
      </c>
      <c r="O16">
        <f t="shared" si="2"/>
        <v>0.79811386657352434</v>
      </c>
      <c r="P16" t="s">
        <v>104</v>
      </c>
      <c r="Q16">
        <v>2024</v>
      </c>
      <c r="R16" s="4">
        <v>92240320</v>
      </c>
    </row>
    <row r="17" spans="1:18" x14ac:dyDescent="0.25">
      <c r="A17" s="1" t="str">
        <f t="shared" si="0"/>
        <v>ARB</v>
      </c>
      <c r="B17" t="s">
        <v>26</v>
      </c>
      <c r="C17">
        <v>31.131</v>
      </c>
      <c r="D17">
        <v>15.5</v>
      </c>
      <c r="E17" t="s">
        <v>25</v>
      </c>
      <c r="F17" s="2" t="s">
        <v>95</v>
      </c>
      <c r="G17">
        <v>10</v>
      </c>
      <c r="H17">
        <v>1</v>
      </c>
      <c r="I17" t="s">
        <v>14</v>
      </c>
      <c r="J17">
        <v>1.52</v>
      </c>
      <c r="K17">
        <v>0.45050000000000001</v>
      </c>
      <c r="L17">
        <v>0.22989999999999999</v>
      </c>
      <c r="M17">
        <v>0.48089999999999999</v>
      </c>
      <c r="N17">
        <f t="shared" si="1"/>
        <v>0.48967813540510546</v>
      </c>
      <c r="O17">
        <f t="shared" si="2"/>
        <v>0.87888446215139449</v>
      </c>
      <c r="P17" t="s">
        <v>104</v>
      </c>
      <c r="Q17">
        <v>2024</v>
      </c>
      <c r="R17" s="4">
        <v>92240320</v>
      </c>
    </row>
    <row r="18" spans="1:18" x14ac:dyDescent="0.25">
      <c r="A18" s="1" t="str">
        <f t="shared" si="0"/>
        <v>ARB</v>
      </c>
      <c r="B18" t="s">
        <v>27</v>
      </c>
      <c r="C18">
        <v>75.28</v>
      </c>
      <c r="D18">
        <v>24.6</v>
      </c>
      <c r="E18" t="s">
        <v>25</v>
      </c>
      <c r="F18" s="2" t="s">
        <v>95</v>
      </c>
      <c r="G18">
        <v>10</v>
      </c>
      <c r="H18">
        <v>1</v>
      </c>
      <c r="I18" t="s">
        <v>13</v>
      </c>
      <c r="J18">
        <v>2.3730000000000002</v>
      </c>
      <c r="K18">
        <v>0.37040000000000001</v>
      </c>
      <c r="L18">
        <v>0.17780000000000001</v>
      </c>
      <c r="M18">
        <v>0.42299999999999999</v>
      </c>
      <c r="N18">
        <f t="shared" si="1"/>
        <v>0.51997840172786169</v>
      </c>
      <c r="O18">
        <f t="shared" si="2"/>
        <v>0.78548123980424145</v>
      </c>
      <c r="P18" t="s">
        <v>104</v>
      </c>
      <c r="Q18">
        <v>2024</v>
      </c>
      <c r="R18" s="4">
        <v>92240364</v>
      </c>
    </row>
    <row r="19" spans="1:18" x14ac:dyDescent="0.25">
      <c r="A19" s="1" t="str">
        <f t="shared" si="0"/>
        <v>ARB</v>
      </c>
      <c r="B19" t="s">
        <v>27</v>
      </c>
      <c r="C19">
        <v>75.28</v>
      </c>
      <c r="D19">
        <v>24.6</v>
      </c>
      <c r="E19" t="s">
        <v>25</v>
      </c>
      <c r="F19" s="2" t="s">
        <v>95</v>
      </c>
      <c r="G19">
        <v>10</v>
      </c>
      <c r="H19">
        <v>1</v>
      </c>
      <c r="I19" t="s">
        <v>14</v>
      </c>
      <c r="J19">
        <v>2.246</v>
      </c>
      <c r="K19">
        <v>0.25650000000000001</v>
      </c>
      <c r="L19">
        <v>0.13220000000000001</v>
      </c>
      <c r="M19">
        <v>0.28949999999999998</v>
      </c>
      <c r="N19">
        <f t="shared" si="1"/>
        <v>0.4846003898635477</v>
      </c>
      <c r="O19">
        <f t="shared" si="2"/>
        <v>0.79020979020979032</v>
      </c>
      <c r="P19" t="s">
        <v>104</v>
      </c>
      <c r="Q19">
        <v>2024</v>
      </c>
      <c r="R19" s="4">
        <v>92240364</v>
      </c>
    </row>
    <row r="20" spans="1:18" x14ac:dyDescent="0.25">
      <c r="A20" t="str">
        <f t="shared" si="0"/>
        <v>ARB</v>
      </c>
      <c r="B20" t="s">
        <v>28</v>
      </c>
      <c r="C20">
        <v>48.860999999999997</v>
      </c>
      <c r="D20">
        <v>23.3</v>
      </c>
      <c r="E20" t="s">
        <v>25</v>
      </c>
      <c r="F20" s="6" t="s">
        <v>95</v>
      </c>
      <c r="G20">
        <v>10</v>
      </c>
      <c r="H20">
        <v>1</v>
      </c>
      <c r="I20" t="s">
        <v>13</v>
      </c>
      <c r="J20">
        <v>3.0619999999999998</v>
      </c>
      <c r="K20">
        <v>0.40710000000000002</v>
      </c>
      <c r="L20">
        <v>0.19589999999999999</v>
      </c>
      <c r="M20">
        <v>0.45429999999999998</v>
      </c>
      <c r="N20">
        <f t="shared" si="1"/>
        <v>0.51879145173176133</v>
      </c>
      <c r="O20">
        <f t="shared" si="2"/>
        <v>0.81733746130030982</v>
      </c>
      <c r="P20" t="s">
        <v>104</v>
      </c>
      <c r="Q20">
        <v>2024</v>
      </c>
      <c r="R20">
        <v>92240365</v>
      </c>
    </row>
    <row r="21" spans="1:18" x14ac:dyDescent="0.25">
      <c r="A21" t="str">
        <f t="shared" si="0"/>
        <v>ARB</v>
      </c>
      <c r="B21" t="s">
        <v>28</v>
      </c>
      <c r="C21">
        <v>48.860999999999997</v>
      </c>
      <c r="D21">
        <v>23.3</v>
      </c>
      <c r="E21" t="s">
        <v>25</v>
      </c>
      <c r="F21" s="6" t="s">
        <v>95</v>
      </c>
      <c r="G21">
        <v>10</v>
      </c>
      <c r="H21">
        <v>1</v>
      </c>
      <c r="I21" t="s">
        <v>14</v>
      </c>
      <c r="J21">
        <v>2.2629999999999999</v>
      </c>
      <c r="K21">
        <v>0.32869999999999999</v>
      </c>
      <c r="L21">
        <v>0.16300000000000001</v>
      </c>
      <c r="M21">
        <v>0.36120000000000002</v>
      </c>
      <c r="N21">
        <f t="shared" si="1"/>
        <v>0.50410708853057495</v>
      </c>
      <c r="O21">
        <f t="shared" si="2"/>
        <v>0.83602421796165471</v>
      </c>
      <c r="P21" t="s">
        <v>104</v>
      </c>
      <c r="Q21">
        <v>2024</v>
      </c>
      <c r="R21">
        <v>92240365</v>
      </c>
    </row>
    <row r="22" spans="1:18" x14ac:dyDescent="0.25">
      <c r="A22" t="str">
        <f t="shared" si="0"/>
        <v>ARB</v>
      </c>
      <c r="B22" t="s">
        <v>29</v>
      </c>
      <c r="C22">
        <v>33.423000000000002</v>
      </c>
      <c r="D22">
        <v>18.8</v>
      </c>
      <c r="E22" t="s">
        <v>25</v>
      </c>
      <c r="F22" s="6" t="s">
        <v>95</v>
      </c>
      <c r="G22">
        <v>7</v>
      </c>
      <c r="H22">
        <v>1</v>
      </c>
      <c r="I22" t="s">
        <v>13</v>
      </c>
      <c r="J22">
        <v>2.7589999999999999</v>
      </c>
      <c r="K22">
        <v>0.41270000000000001</v>
      </c>
      <c r="L22">
        <v>0.20519999999999999</v>
      </c>
      <c r="M22">
        <v>0.43640000000000001</v>
      </c>
      <c r="N22">
        <f t="shared" si="1"/>
        <v>0.50278652774412413</v>
      </c>
      <c r="O22">
        <f t="shared" si="2"/>
        <v>0.89749134948096887</v>
      </c>
      <c r="P22" t="s">
        <v>104</v>
      </c>
      <c r="Q22">
        <v>2024</v>
      </c>
      <c r="R22">
        <v>92240362</v>
      </c>
    </row>
    <row r="23" spans="1:18" x14ac:dyDescent="0.25">
      <c r="A23" t="str">
        <f t="shared" si="0"/>
        <v>ARB</v>
      </c>
      <c r="B23" t="s">
        <v>29</v>
      </c>
      <c r="C23">
        <v>33.423000000000002</v>
      </c>
      <c r="D23">
        <v>18.8</v>
      </c>
      <c r="E23" t="s">
        <v>25</v>
      </c>
      <c r="F23" s="6" t="s">
        <v>95</v>
      </c>
      <c r="G23">
        <v>7</v>
      </c>
      <c r="H23">
        <v>1</v>
      </c>
      <c r="I23" t="s">
        <v>14</v>
      </c>
      <c r="J23">
        <v>2.58</v>
      </c>
      <c r="K23">
        <v>0.29830000000000001</v>
      </c>
      <c r="L23">
        <v>0.14419999999999999</v>
      </c>
      <c r="M23">
        <v>0.3407</v>
      </c>
      <c r="N23">
        <f t="shared" si="1"/>
        <v>0.51659403285283279</v>
      </c>
      <c r="O23">
        <f t="shared" si="2"/>
        <v>0.78422391857506368</v>
      </c>
      <c r="P23" t="s">
        <v>104</v>
      </c>
      <c r="Q23">
        <v>2024</v>
      </c>
      <c r="R23">
        <v>92240362</v>
      </c>
    </row>
    <row r="24" spans="1:18" x14ac:dyDescent="0.25">
      <c r="A24" t="str">
        <f t="shared" si="0"/>
        <v>ARB</v>
      </c>
      <c r="B24" t="s">
        <v>30</v>
      </c>
      <c r="C24">
        <v>71.301000000000002</v>
      </c>
      <c r="D24">
        <v>30.7</v>
      </c>
      <c r="E24" t="s">
        <v>25</v>
      </c>
      <c r="F24" s="6" t="s">
        <v>95</v>
      </c>
      <c r="G24">
        <v>8</v>
      </c>
      <c r="H24">
        <v>1</v>
      </c>
      <c r="I24" t="s">
        <v>13</v>
      </c>
      <c r="J24">
        <v>1.9670000000000001</v>
      </c>
      <c r="K24">
        <v>0.5151</v>
      </c>
      <c r="L24">
        <v>0.26090000000000002</v>
      </c>
      <c r="M24">
        <v>0.59560000000000002</v>
      </c>
      <c r="N24">
        <f t="shared" si="1"/>
        <v>0.49349640846437581</v>
      </c>
      <c r="O24">
        <f t="shared" si="2"/>
        <v>0.75948610696145802</v>
      </c>
      <c r="P24" t="s">
        <v>104</v>
      </c>
      <c r="Q24">
        <v>2024</v>
      </c>
      <c r="R24">
        <v>92240369</v>
      </c>
    </row>
    <row r="25" spans="1:18" x14ac:dyDescent="0.25">
      <c r="A25" t="str">
        <f t="shared" si="0"/>
        <v>ARB</v>
      </c>
      <c r="B25" t="s">
        <v>30</v>
      </c>
      <c r="C25">
        <v>71.301000000000002</v>
      </c>
      <c r="D25">
        <v>30.7</v>
      </c>
      <c r="E25" t="s">
        <v>25</v>
      </c>
      <c r="F25" s="6" t="s">
        <v>95</v>
      </c>
      <c r="G25">
        <v>8</v>
      </c>
      <c r="H25">
        <v>1</v>
      </c>
      <c r="I25" t="s">
        <v>14</v>
      </c>
      <c r="J25">
        <v>2.371</v>
      </c>
      <c r="K25">
        <v>0.58330000000000004</v>
      </c>
      <c r="L25">
        <v>0.34720000000000001</v>
      </c>
      <c r="M25">
        <v>0.63949999999999996</v>
      </c>
      <c r="N25">
        <f t="shared" si="1"/>
        <v>0.40476598662780733</v>
      </c>
      <c r="O25">
        <f t="shared" si="2"/>
        <v>0.80773178241532695</v>
      </c>
      <c r="P25" t="s">
        <v>104</v>
      </c>
      <c r="Q25">
        <v>2024</v>
      </c>
      <c r="R25">
        <v>92240369</v>
      </c>
    </row>
    <row r="26" spans="1:18" x14ac:dyDescent="0.25">
      <c r="A26" s="1" t="str">
        <f t="shared" si="0"/>
        <v>BR</v>
      </c>
      <c r="B26" t="s">
        <v>31</v>
      </c>
      <c r="C26">
        <v>48.1</v>
      </c>
      <c r="D26">
        <v>8.6999999999999993</v>
      </c>
      <c r="E26" t="s">
        <v>32</v>
      </c>
      <c r="F26" s="2" t="s">
        <v>96</v>
      </c>
      <c r="G26">
        <v>10</v>
      </c>
      <c r="H26">
        <v>1</v>
      </c>
      <c r="I26" t="s">
        <v>13</v>
      </c>
      <c r="J26">
        <v>2.46</v>
      </c>
      <c r="K26">
        <v>6.91</v>
      </c>
      <c r="L26">
        <v>3.8611</v>
      </c>
      <c r="M26" t="s">
        <v>33</v>
      </c>
      <c r="N26">
        <f t="shared" si="1"/>
        <v>0.44123010130246021</v>
      </c>
      <c r="O26" t="s">
        <v>33</v>
      </c>
      <c r="P26" t="s">
        <v>104</v>
      </c>
      <c r="Q26">
        <v>2024</v>
      </c>
      <c r="R26" s="4">
        <v>92240332</v>
      </c>
    </row>
    <row r="27" spans="1:18" x14ac:dyDescent="0.25">
      <c r="A27" s="1" t="str">
        <f t="shared" si="0"/>
        <v>BR</v>
      </c>
      <c r="B27" t="s">
        <v>31</v>
      </c>
      <c r="C27">
        <v>48.1</v>
      </c>
      <c r="D27">
        <v>8.6999999999999993</v>
      </c>
      <c r="E27" t="s">
        <v>32</v>
      </c>
      <c r="F27" s="2" t="s">
        <v>96</v>
      </c>
      <c r="G27">
        <v>10</v>
      </c>
      <c r="H27">
        <v>1</v>
      </c>
      <c r="I27" t="s">
        <v>14</v>
      </c>
      <c r="J27">
        <v>2.4900000000000002</v>
      </c>
      <c r="K27">
        <v>5.61</v>
      </c>
      <c r="L27">
        <v>3.1907999999999999</v>
      </c>
      <c r="M27" t="s">
        <v>33</v>
      </c>
      <c r="N27">
        <f t="shared" si="1"/>
        <v>0.43122994652406421</v>
      </c>
      <c r="O27" t="s">
        <v>33</v>
      </c>
      <c r="P27" t="s">
        <v>104</v>
      </c>
      <c r="Q27">
        <v>2024</v>
      </c>
      <c r="R27" s="4">
        <v>92240332</v>
      </c>
    </row>
    <row r="28" spans="1:18" x14ac:dyDescent="0.25">
      <c r="A28" s="1" t="str">
        <f t="shared" si="0"/>
        <v>BR</v>
      </c>
      <c r="B28" t="s">
        <v>108</v>
      </c>
      <c r="C28">
        <v>32.72</v>
      </c>
      <c r="D28">
        <v>7.2</v>
      </c>
      <c r="E28" t="s">
        <v>32</v>
      </c>
      <c r="F28" s="2" t="s">
        <v>96</v>
      </c>
      <c r="G28">
        <v>10</v>
      </c>
      <c r="H28">
        <v>1</v>
      </c>
      <c r="I28" t="s">
        <v>13</v>
      </c>
      <c r="J28">
        <v>2.1259999999999999</v>
      </c>
      <c r="K28">
        <v>6.19</v>
      </c>
      <c r="L28">
        <v>3.3980999999999999</v>
      </c>
      <c r="M28" t="s">
        <v>33</v>
      </c>
      <c r="N28">
        <f t="shared" si="1"/>
        <v>0.45103392568659134</v>
      </c>
      <c r="O28" t="s">
        <v>33</v>
      </c>
      <c r="P28" t="s">
        <v>104</v>
      </c>
      <c r="Q28">
        <v>2024</v>
      </c>
      <c r="R28" s="4">
        <v>92240313</v>
      </c>
    </row>
    <row r="29" spans="1:18" x14ac:dyDescent="0.25">
      <c r="A29" s="1" t="str">
        <f t="shared" si="0"/>
        <v>BR</v>
      </c>
      <c r="B29" t="s">
        <v>108</v>
      </c>
      <c r="C29">
        <v>32.72</v>
      </c>
      <c r="D29">
        <v>7.2</v>
      </c>
      <c r="E29" t="s">
        <v>32</v>
      </c>
      <c r="F29" s="2" t="s">
        <v>96</v>
      </c>
      <c r="G29">
        <v>10</v>
      </c>
      <c r="H29">
        <v>1</v>
      </c>
      <c r="I29" t="s">
        <v>14</v>
      </c>
      <c r="J29">
        <v>2.2229999999999999</v>
      </c>
      <c r="K29">
        <v>2.37</v>
      </c>
      <c r="L29">
        <v>1.3464</v>
      </c>
      <c r="M29" t="s">
        <v>33</v>
      </c>
      <c r="N29">
        <f t="shared" si="1"/>
        <v>0.43189873417721519</v>
      </c>
      <c r="O29" t="s">
        <v>33</v>
      </c>
      <c r="P29" t="s">
        <v>104</v>
      </c>
      <c r="Q29">
        <v>2024</v>
      </c>
      <c r="R29" s="4">
        <v>92240313</v>
      </c>
    </row>
    <row r="30" spans="1:18" x14ac:dyDescent="0.25">
      <c r="A30" s="1" t="str">
        <f t="shared" si="0"/>
        <v>FR</v>
      </c>
      <c r="B30" t="s">
        <v>34</v>
      </c>
      <c r="C30">
        <v>55.59</v>
      </c>
      <c r="D30">
        <v>19.3294</v>
      </c>
      <c r="E30" t="s">
        <v>25</v>
      </c>
      <c r="F30" s="2" t="s">
        <v>95</v>
      </c>
      <c r="G30">
        <v>4</v>
      </c>
      <c r="H30">
        <v>1</v>
      </c>
      <c r="I30" t="s">
        <v>13</v>
      </c>
      <c r="J30" t="s">
        <v>33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104</v>
      </c>
      <c r="Q30">
        <v>2024</v>
      </c>
      <c r="R30" s="4">
        <v>92240329</v>
      </c>
    </row>
    <row r="31" spans="1:18" x14ac:dyDescent="0.25">
      <c r="A31" s="1" t="str">
        <f t="shared" si="0"/>
        <v>FR</v>
      </c>
      <c r="B31" t="s">
        <v>34</v>
      </c>
      <c r="C31">
        <v>55.59</v>
      </c>
      <c r="D31">
        <v>19.3294</v>
      </c>
      <c r="E31" t="s">
        <v>25</v>
      </c>
      <c r="F31" s="2" t="s">
        <v>95</v>
      </c>
      <c r="G31">
        <v>4</v>
      </c>
      <c r="H31">
        <v>1</v>
      </c>
      <c r="I31" t="s">
        <v>14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104</v>
      </c>
      <c r="Q31">
        <v>2024</v>
      </c>
      <c r="R31" s="4">
        <v>92240329</v>
      </c>
    </row>
    <row r="32" spans="1:18" x14ac:dyDescent="0.25">
      <c r="A32" s="1" t="str">
        <f t="shared" si="0"/>
        <v>FR</v>
      </c>
      <c r="B32" t="s">
        <v>35</v>
      </c>
      <c r="C32">
        <v>57.17</v>
      </c>
      <c r="D32">
        <v>23.037800000000001</v>
      </c>
      <c r="E32" t="s">
        <v>25</v>
      </c>
      <c r="F32" s="2" t="s">
        <v>95</v>
      </c>
      <c r="G32">
        <v>10</v>
      </c>
      <c r="H32">
        <v>1</v>
      </c>
      <c r="I32" t="s">
        <v>13</v>
      </c>
      <c r="J32" t="s">
        <v>33</v>
      </c>
      <c r="K32" t="s">
        <v>33</v>
      </c>
      <c r="L32" t="s">
        <v>33</v>
      </c>
      <c r="M32" t="s">
        <v>33</v>
      </c>
      <c r="N32" t="s">
        <v>33</v>
      </c>
      <c r="O32" t="s">
        <v>33</v>
      </c>
      <c r="P32" t="s">
        <v>104</v>
      </c>
      <c r="Q32">
        <v>2024</v>
      </c>
      <c r="R32" s="4">
        <v>92240330</v>
      </c>
    </row>
    <row r="33" spans="1:18" x14ac:dyDescent="0.25">
      <c r="A33" s="1" t="str">
        <f t="shared" si="0"/>
        <v>FR</v>
      </c>
      <c r="B33" t="s">
        <v>35</v>
      </c>
      <c r="C33">
        <v>57.17</v>
      </c>
      <c r="D33">
        <v>23.037800000000001</v>
      </c>
      <c r="E33" t="s">
        <v>25</v>
      </c>
      <c r="F33" s="2" t="s">
        <v>95</v>
      </c>
      <c r="G33">
        <v>10</v>
      </c>
      <c r="H33">
        <v>1</v>
      </c>
      <c r="I33" t="s">
        <v>14</v>
      </c>
      <c r="J33" t="s">
        <v>33</v>
      </c>
      <c r="K33" t="s">
        <v>33</v>
      </c>
      <c r="L33" t="s">
        <v>33</v>
      </c>
      <c r="M33" t="s">
        <v>33</v>
      </c>
      <c r="N33" t="s">
        <v>33</v>
      </c>
      <c r="O33" t="s">
        <v>33</v>
      </c>
      <c r="P33" t="s">
        <v>104</v>
      </c>
      <c r="Q33">
        <v>2024</v>
      </c>
      <c r="R33" s="4">
        <v>92240330</v>
      </c>
    </row>
    <row r="34" spans="1:18" x14ac:dyDescent="0.25">
      <c r="A34" s="1" t="str">
        <f t="shared" ref="A34:A65" si="3">LEFT(B34,FIND("-",B34)-1)</f>
        <v>FR</v>
      </c>
      <c r="B34" t="s">
        <v>36</v>
      </c>
      <c r="C34">
        <v>86.01</v>
      </c>
      <c r="D34">
        <v>24.866599999999998</v>
      </c>
      <c r="E34" t="s">
        <v>25</v>
      </c>
      <c r="F34" s="2" t="s">
        <v>95</v>
      </c>
      <c r="G34">
        <v>10</v>
      </c>
      <c r="H34">
        <v>1</v>
      </c>
      <c r="I34" t="s">
        <v>13</v>
      </c>
      <c r="J34">
        <v>1.95</v>
      </c>
      <c r="K34">
        <v>0.28710000000000002</v>
      </c>
      <c r="L34">
        <v>0.15340000000000001</v>
      </c>
      <c r="M34">
        <v>0.32690000000000002</v>
      </c>
      <c r="N34">
        <f t="shared" ref="N34:N45" si="4">(K34-L34)/K34</f>
        <v>0.4656913967258795</v>
      </c>
      <c r="O34">
        <f t="shared" ref="O34:O45" si="5">(K34-L34)/(M34-L34)</f>
        <v>0.7706051873198847</v>
      </c>
      <c r="P34" t="s">
        <v>104</v>
      </c>
      <c r="Q34">
        <v>2024</v>
      </c>
      <c r="R34" s="4">
        <v>92240322</v>
      </c>
    </row>
    <row r="35" spans="1:18" x14ac:dyDescent="0.25">
      <c r="A35" s="1" t="str">
        <f t="shared" si="3"/>
        <v>FR</v>
      </c>
      <c r="B35" t="s">
        <v>36</v>
      </c>
      <c r="C35">
        <v>86.01</v>
      </c>
      <c r="D35">
        <v>24.866599999999998</v>
      </c>
      <c r="E35" t="s">
        <v>25</v>
      </c>
      <c r="F35" s="2" t="s">
        <v>95</v>
      </c>
      <c r="G35">
        <v>10</v>
      </c>
      <c r="H35">
        <v>1</v>
      </c>
      <c r="I35" t="s">
        <v>14</v>
      </c>
      <c r="J35">
        <v>1.446</v>
      </c>
      <c r="K35">
        <v>0.62080000000000002</v>
      </c>
      <c r="L35">
        <v>0.2928</v>
      </c>
      <c r="M35">
        <v>0.65510000000000002</v>
      </c>
      <c r="N35">
        <f t="shared" si="4"/>
        <v>0.52835051546391754</v>
      </c>
      <c r="O35">
        <f t="shared" si="5"/>
        <v>0.90532707700800441</v>
      </c>
      <c r="P35" t="s">
        <v>104</v>
      </c>
      <c r="Q35">
        <v>2024</v>
      </c>
      <c r="R35" s="4">
        <v>92240322</v>
      </c>
    </row>
    <row r="36" spans="1:18" x14ac:dyDescent="0.25">
      <c r="A36" s="1" t="str">
        <f t="shared" si="3"/>
        <v>FR</v>
      </c>
      <c r="B36" t="s">
        <v>37</v>
      </c>
      <c r="C36">
        <v>76.430000000000007</v>
      </c>
      <c r="D36">
        <v>23.596599999999999</v>
      </c>
      <c r="E36" t="s">
        <v>25</v>
      </c>
      <c r="F36" s="2" t="s">
        <v>95</v>
      </c>
      <c r="G36">
        <v>8</v>
      </c>
      <c r="H36">
        <v>1</v>
      </c>
      <c r="I36" t="s">
        <v>13</v>
      </c>
      <c r="J36">
        <v>1.8420000000000001</v>
      </c>
      <c r="K36">
        <v>0.52749999999999997</v>
      </c>
      <c r="L36">
        <v>0.28349999999999997</v>
      </c>
      <c r="M36">
        <v>0.53800000000000003</v>
      </c>
      <c r="N36">
        <f t="shared" si="4"/>
        <v>0.46255924170616114</v>
      </c>
      <c r="O36">
        <f t="shared" si="5"/>
        <v>0.95874263261296633</v>
      </c>
      <c r="P36" t="s">
        <v>104</v>
      </c>
      <c r="Q36">
        <v>2024</v>
      </c>
      <c r="R36" s="4">
        <v>92240323</v>
      </c>
    </row>
    <row r="37" spans="1:18" x14ac:dyDescent="0.25">
      <c r="A37" s="1" t="str">
        <f t="shared" si="3"/>
        <v>FR</v>
      </c>
      <c r="B37" t="s">
        <v>37</v>
      </c>
      <c r="C37">
        <v>76.430000000000007</v>
      </c>
      <c r="D37">
        <v>23.596599999999999</v>
      </c>
      <c r="E37" t="s">
        <v>25</v>
      </c>
      <c r="F37" s="2" t="s">
        <v>95</v>
      </c>
      <c r="G37">
        <v>8</v>
      </c>
      <c r="H37">
        <v>1</v>
      </c>
      <c r="I37" t="s">
        <v>14</v>
      </c>
      <c r="J37">
        <v>2.2930000000000001</v>
      </c>
      <c r="K37">
        <v>0.42649999999999999</v>
      </c>
      <c r="L37">
        <v>0.23280000000000001</v>
      </c>
      <c r="M37">
        <v>0.46800000000000003</v>
      </c>
      <c r="N37">
        <f t="shared" si="4"/>
        <v>0.45416178194607265</v>
      </c>
      <c r="O37">
        <f t="shared" si="5"/>
        <v>0.8235544217687073</v>
      </c>
      <c r="P37" t="s">
        <v>104</v>
      </c>
      <c r="Q37">
        <v>2024</v>
      </c>
      <c r="R37" s="4">
        <v>92240323</v>
      </c>
    </row>
    <row r="38" spans="1:18" x14ac:dyDescent="0.25">
      <c r="A38" s="1" t="str">
        <f t="shared" si="3"/>
        <v>FR</v>
      </c>
      <c r="B38" t="s">
        <v>38</v>
      </c>
      <c r="C38">
        <v>98.68</v>
      </c>
      <c r="D38">
        <v>26.365200000000002</v>
      </c>
      <c r="E38" t="s">
        <v>25</v>
      </c>
      <c r="F38" s="2" t="s">
        <v>95</v>
      </c>
      <c r="G38">
        <v>1</v>
      </c>
      <c r="H38">
        <v>1</v>
      </c>
      <c r="I38" t="s">
        <v>13</v>
      </c>
      <c r="J38">
        <v>2.2909999999999999</v>
      </c>
      <c r="K38">
        <v>0.51439999999999997</v>
      </c>
      <c r="L38">
        <v>0.26190000000000002</v>
      </c>
      <c r="M38">
        <v>0.54759999999999998</v>
      </c>
      <c r="N38">
        <f t="shared" si="4"/>
        <v>0.49086314152410571</v>
      </c>
      <c r="O38">
        <f t="shared" si="5"/>
        <v>0.88379418970948542</v>
      </c>
      <c r="P38" t="s">
        <v>104</v>
      </c>
      <c r="Q38">
        <v>2024</v>
      </c>
      <c r="R38" s="4">
        <v>92240314</v>
      </c>
    </row>
    <row r="39" spans="1:18" x14ac:dyDescent="0.25">
      <c r="A39" s="1" t="str">
        <f t="shared" si="3"/>
        <v>FR</v>
      </c>
      <c r="B39" t="s">
        <v>38</v>
      </c>
      <c r="C39">
        <v>98.68</v>
      </c>
      <c r="D39">
        <v>26.365200000000002</v>
      </c>
      <c r="E39" t="s">
        <v>25</v>
      </c>
      <c r="F39" s="2" t="s">
        <v>95</v>
      </c>
      <c r="G39">
        <v>1</v>
      </c>
      <c r="H39">
        <v>1</v>
      </c>
      <c r="I39" t="s">
        <v>14</v>
      </c>
      <c r="J39">
        <v>2.992</v>
      </c>
      <c r="K39">
        <v>0.65500000000000003</v>
      </c>
      <c r="L39">
        <v>0.31830000000000003</v>
      </c>
      <c r="M39">
        <v>0.68489999999999995</v>
      </c>
      <c r="N39">
        <f t="shared" si="4"/>
        <v>0.51404580152671753</v>
      </c>
      <c r="O39">
        <f t="shared" si="5"/>
        <v>0.9184397163120569</v>
      </c>
      <c r="P39" t="s">
        <v>104</v>
      </c>
      <c r="Q39">
        <v>2024</v>
      </c>
      <c r="R39" s="4">
        <v>92240314</v>
      </c>
    </row>
    <row r="40" spans="1:18" x14ac:dyDescent="0.25">
      <c r="A40" s="1" t="str">
        <f t="shared" si="3"/>
        <v>FR</v>
      </c>
      <c r="B40" t="s">
        <v>39</v>
      </c>
      <c r="C40">
        <v>48.61</v>
      </c>
      <c r="D40">
        <v>14.3764</v>
      </c>
      <c r="E40" t="s">
        <v>17</v>
      </c>
      <c r="F40" s="2" t="s">
        <v>91</v>
      </c>
      <c r="G40">
        <v>6</v>
      </c>
      <c r="H40">
        <v>1</v>
      </c>
      <c r="I40" t="s">
        <v>13</v>
      </c>
      <c r="J40">
        <v>1.556</v>
      </c>
      <c r="K40">
        <v>7.6502999999999997</v>
      </c>
      <c r="L40">
        <v>3.1659000000000002</v>
      </c>
      <c r="M40">
        <v>8.2279</v>
      </c>
      <c r="N40">
        <f t="shared" si="4"/>
        <v>0.58617309125132333</v>
      </c>
      <c r="O40">
        <f t="shared" si="5"/>
        <v>0.88589490320031605</v>
      </c>
      <c r="P40" t="s">
        <v>104</v>
      </c>
      <c r="Q40">
        <v>2024</v>
      </c>
      <c r="R40" s="4">
        <v>92240315</v>
      </c>
    </row>
    <row r="41" spans="1:18" x14ac:dyDescent="0.25">
      <c r="A41" s="1" t="str">
        <f t="shared" si="3"/>
        <v>FR</v>
      </c>
      <c r="B41" t="s">
        <v>39</v>
      </c>
      <c r="C41">
        <v>48.61</v>
      </c>
      <c r="D41">
        <v>14.3764</v>
      </c>
      <c r="E41" t="s">
        <v>17</v>
      </c>
      <c r="F41" s="2" t="s">
        <v>91</v>
      </c>
      <c r="G41">
        <v>6</v>
      </c>
      <c r="H41">
        <v>1</v>
      </c>
      <c r="I41" t="s">
        <v>14</v>
      </c>
      <c r="J41">
        <v>1.6120000000000001</v>
      </c>
      <c r="K41">
        <v>7.2607999999999997</v>
      </c>
      <c r="L41">
        <v>3.7035</v>
      </c>
      <c r="M41">
        <v>7.4485999999999999</v>
      </c>
      <c r="N41">
        <f t="shared" si="4"/>
        <v>0.48993223887174964</v>
      </c>
      <c r="O41">
        <f t="shared" si="5"/>
        <v>0.94985447651598087</v>
      </c>
      <c r="P41" t="s">
        <v>104</v>
      </c>
      <c r="Q41">
        <v>2024</v>
      </c>
      <c r="R41" s="4">
        <v>92240315</v>
      </c>
    </row>
    <row r="42" spans="1:18" x14ac:dyDescent="0.25">
      <c r="A42" s="1" t="str">
        <f t="shared" si="3"/>
        <v>FR</v>
      </c>
      <c r="B42" t="s">
        <v>40</v>
      </c>
      <c r="C42">
        <v>56.37</v>
      </c>
      <c r="D42">
        <v>11.8872</v>
      </c>
      <c r="E42" t="s">
        <v>17</v>
      </c>
      <c r="F42" s="2" t="s">
        <v>91</v>
      </c>
      <c r="G42">
        <v>10</v>
      </c>
      <c r="H42">
        <v>1</v>
      </c>
      <c r="I42" t="s">
        <v>13</v>
      </c>
      <c r="J42">
        <v>1.8759999999999999</v>
      </c>
      <c r="K42">
        <v>20.129000000000001</v>
      </c>
      <c r="L42">
        <v>9.3919999999999995</v>
      </c>
      <c r="M42">
        <v>21.192799999999998</v>
      </c>
      <c r="N42">
        <f t="shared" si="4"/>
        <v>0.53340950866908443</v>
      </c>
      <c r="O42">
        <f t="shared" si="5"/>
        <v>0.90985356924954264</v>
      </c>
      <c r="P42" t="s">
        <v>104</v>
      </c>
      <c r="Q42">
        <v>2024</v>
      </c>
      <c r="R42" s="4">
        <v>92240324</v>
      </c>
    </row>
    <row r="43" spans="1:18" x14ac:dyDescent="0.25">
      <c r="A43" s="1" t="str">
        <f t="shared" si="3"/>
        <v>FR</v>
      </c>
      <c r="B43" t="s">
        <v>40</v>
      </c>
      <c r="C43">
        <v>56.37</v>
      </c>
      <c r="D43">
        <v>11.8872</v>
      </c>
      <c r="E43" t="s">
        <v>17</v>
      </c>
      <c r="F43" s="2" t="s">
        <v>91</v>
      </c>
      <c r="G43">
        <v>10</v>
      </c>
      <c r="H43">
        <v>1</v>
      </c>
      <c r="I43" t="s">
        <v>14</v>
      </c>
      <c r="J43">
        <v>1.794</v>
      </c>
      <c r="K43">
        <v>7.9886999999999997</v>
      </c>
      <c r="L43">
        <v>3.5596000000000001</v>
      </c>
      <c r="M43">
        <v>8.1940000000000008</v>
      </c>
      <c r="N43">
        <f t="shared" si="4"/>
        <v>0.55442061912451335</v>
      </c>
      <c r="O43">
        <f t="shared" si="5"/>
        <v>0.95570084584843751</v>
      </c>
      <c r="P43" t="s">
        <v>104</v>
      </c>
      <c r="Q43">
        <v>2024</v>
      </c>
      <c r="R43" s="4">
        <v>92240324</v>
      </c>
    </row>
    <row r="44" spans="1:18" x14ac:dyDescent="0.25">
      <c r="A44" s="1" t="str">
        <f t="shared" si="3"/>
        <v>FR</v>
      </c>
      <c r="B44" t="s">
        <v>41</v>
      </c>
      <c r="C44">
        <v>63.66</v>
      </c>
      <c r="D44">
        <v>14.351000000000001</v>
      </c>
      <c r="E44" t="s">
        <v>12</v>
      </c>
      <c r="F44" s="2" t="s">
        <v>90</v>
      </c>
      <c r="G44">
        <v>9</v>
      </c>
      <c r="H44">
        <v>1</v>
      </c>
      <c r="I44" t="s">
        <v>13</v>
      </c>
      <c r="J44">
        <v>2.39</v>
      </c>
      <c r="K44">
        <v>4.9978999999999996</v>
      </c>
      <c r="L44">
        <v>2.1225999999999998</v>
      </c>
      <c r="M44">
        <v>5.5860000000000003</v>
      </c>
      <c r="N44">
        <f t="shared" si="4"/>
        <v>0.57530162668320695</v>
      </c>
      <c r="O44">
        <f t="shared" si="5"/>
        <v>0.83019576139054085</v>
      </c>
      <c r="P44" t="s">
        <v>104</v>
      </c>
      <c r="Q44">
        <v>2024</v>
      </c>
      <c r="R44" s="4">
        <v>92240331</v>
      </c>
    </row>
    <row r="45" spans="1:18" x14ac:dyDescent="0.25">
      <c r="A45" s="1" t="str">
        <f t="shared" si="3"/>
        <v>FR</v>
      </c>
      <c r="B45" t="s">
        <v>41</v>
      </c>
      <c r="C45">
        <v>63.66</v>
      </c>
      <c r="D45">
        <v>14.351000000000001</v>
      </c>
      <c r="E45" t="s">
        <v>12</v>
      </c>
      <c r="F45" s="2" t="s">
        <v>90</v>
      </c>
      <c r="G45">
        <v>9</v>
      </c>
      <c r="H45">
        <v>1</v>
      </c>
      <c r="I45" t="s">
        <v>14</v>
      </c>
      <c r="J45">
        <v>2.3959999999999999</v>
      </c>
      <c r="K45">
        <v>1.8008</v>
      </c>
      <c r="L45">
        <v>0.76170000000000004</v>
      </c>
      <c r="M45">
        <v>2.0226999999999999</v>
      </c>
      <c r="N45">
        <f t="shared" si="4"/>
        <v>0.57702132385606397</v>
      </c>
      <c r="O45">
        <f t="shared" si="5"/>
        <v>0.82402854877081677</v>
      </c>
      <c r="P45" t="s">
        <v>104</v>
      </c>
      <c r="Q45">
        <v>2024</v>
      </c>
      <c r="R45" s="4">
        <v>92240331</v>
      </c>
    </row>
    <row r="46" spans="1:18" x14ac:dyDescent="0.25">
      <c r="A46" s="1" t="str">
        <f t="shared" si="3"/>
        <v>FR</v>
      </c>
      <c r="B46" t="s">
        <v>42</v>
      </c>
      <c r="C46">
        <v>63.73</v>
      </c>
      <c r="D46">
        <v>19.812000000000001</v>
      </c>
      <c r="E46" t="s">
        <v>25</v>
      </c>
      <c r="F46" s="2" t="s">
        <v>95</v>
      </c>
      <c r="G46">
        <v>4</v>
      </c>
      <c r="H46">
        <v>1</v>
      </c>
      <c r="I46" t="s">
        <v>13</v>
      </c>
      <c r="J46" t="s">
        <v>33</v>
      </c>
      <c r="K46" t="s">
        <v>33</v>
      </c>
      <c r="L46" t="s">
        <v>33</v>
      </c>
      <c r="M46" t="s">
        <v>33</v>
      </c>
      <c r="N46" t="s">
        <v>33</v>
      </c>
      <c r="O46" t="s">
        <v>33</v>
      </c>
      <c r="P46" t="s">
        <v>104</v>
      </c>
      <c r="Q46">
        <v>2024</v>
      </c>
      <c r="R46" s="4">
        <v>92240325</v>
      </c>
    </row>
    <row r="47" spans="1:18" x14ac:dyDescent="0.25">
      <c r="A47" s="1" t="str">
        <f t="shared" si="3"/>
        <v>FR</v>
      </c>
      <c r="B47" t="s">
        <v>42</v>
      </c>
      <c r="C47">
        <v>63.73</v>
      </c>
      <c r="D47">
        <v>19.812000000000001</v>
      </c>
      <c r="E47" t="s">
        <v>25</v>
      </c>
      <c r="F47" s="2" t="s">
        <v>95</v>
      </c>
      <c r="G47">
        <v>4</v>
      </c>
      <c r="H47">
        <v>1</v>
      </c>
      <c r="I47" t="s">
        <v>14</v>
      </c>
      <c r="J47" t="s">
        <v>33</v>
      </c>
      <c r="K47" t="s">
        <v>33</v>
      </c>
      <c r="L47" t="s">
        <v>33</v>
      </c>
      <c r="M47" t="s">
        <v>33</v>
      </c>
      <c r="N47" t="s">
        <v>33</v>
      </c>
      <c r="O47" t="s">
        <v>33</v>
      </c>
      <c r="P47" t="s">
        <v>104</v>
      </c>
      <c r="Q47">
        <v>2024</v>
      </c>
      <c r="R47" s="4">
        <v>92240325</v>
      </c>
    </row>
    <row r="48" spans="1:18" x14ac:dyDescent="0.25">
      <c r="A48" s="1" t="str">
        <f t="shared" si="3"/>
        <v>FR</v>
      </c>
      <c r="B48" t="s">
        <v>43</v>
      </c>
      <c r="C48">
        <v>63.73</v>
      </c>
      <c r="D48">
        <v>20.904199999999999</v>
      </c>
      <c r="E48" t="s">
        <v>25</v>
      </c>
      <c r="F48" s="2" t="s">
        <v>95</v>
      </c>
      <c r="G48">
        <v>3</v>
      </c>
      <c r="H48">
        <v>1</v>
      </c>
      <c r="I48" t="s">
        <v>13</v>
      </c>
      <c r="J48" t="s">
        <v>33</v>
      </c>
      <c r="K48" t="s">
        <v>33</v>
      </c>
      <c r="L48" t="s">
        <v>33</v>
      </c>
      <c r="M48" t="s">
        <v>33</v>
      </c>
      <c r="N48" t="s">
        <v>33</v>
      </c>
      <c r="O48" t="s">
        <v>33</v>
      </c>
      <c r="P48" t="s">
        <v>104</v>
      </c>
      <c r="Q48">
        <v>2024</v>
      </c>
      <c r="R48" s="4">
        <v>92246690</v>
      </c>
    </row>
    <row r="49" spans="1:18" x14ac:dyDescent="0.25">
      <c r="A49" s="1" t="str">
        <f t="shared" si="3"/>
        <v>FR</v>
      </c>
      <c r="B49" t="s">
        <v>43</v>
      </c>
      <c r="C49">
        <v>63.73</v>
      </c>
      <c r="D49">
        <v>20.904199999999999</v>
      </c>
      <c r="E49" t="s">
        <v>25</v>
      </c>
      <c r="F49" s="2" t="s">
        <v>95</v>
      </c>
      <c r="G49">
        <v>3</v>
      </c>
      <c r="H49">
        <v>1</v>
      </c>
      <c r="I49" t="s">
        <v>14</v>
      </c>
      <c r="J49" t="s">
        <v>33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104</v>
      </c>
      <c r="Q49">
        <v>2024</v>
      </c>
      <c r="R49" s="4">
        <v>92246690</v>
      </c>
    </row>
    <row r="50" spans="1:18" x14ac:dyDescent="0.25">
      <c r="A50" s="1" t="str">
        <f t="shared" si="3"/>
        <v>FR</v>
      </c>
      <c r="B50" t="s">
        <v>44</v>
      </c>
      <c r="C50">
        <v>48.8</v>
      </c>
      <c r="D50">
        <v>25.146000000000001</v>
      </c>
      <c r="E50" t="s">
        <v>105</v>
      </c>
      <c r="F50" s="2" t="s">
        <v>97</v>
      </c>
      <c r="G50">
        <v>3</v>
      </c>
      <c r="H50">
        <v>1</v>
      </c>
      <c r="I50" t="s">
        <v>13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104</v>
      </c>
      <c r="Q50">
        <v>2024</v>
      </c>
      <c r="R50" s="4">
        <v>92246688</v>
      </c>
    </row>
    <row r="51" spans="1:18" x14ac:dyDescent="0.25">
      <c r="A51" s="1" t="str">
        <f t="shared" si="3"/>
        <v>FR</v>
      </c>
      <c r="B51" t="s">
        <v>44</v>
      </c>
      <c r="C51">
        <v>48.8</v>
      </c>
      <c r="D51">
        <v>25.146000000000001</v>
      </c>
      <c r="E51" t="s">
        <v>105</v>
      </c>
      <c r="F51" s="2" t="s">
        <v>97</v>
      </c>
      <c r="G51">
        <v>3</v>
      </c>
      <c r="H51">
        <v>1</v>
      </c>
      <c r="I51" t="s">
        <v>14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104</v>
      </c>
      <c r="Q51">
        <v>2024</v>
      </c>
      <c r="R51" s="4">
        <v>92246688</v>
      </c>
    </row>
    <row r="52" spans="1:18" x14ac:dyDescent="0.25">
      <c r="A52" s="1" t="str">
        <f t="shared" si="3"/>
        <v>FR</v>
      </c>
      <c r="B52" t="s">
        <v>45</v>
      </c>
      <c r="C52">
        <v>44.34</v>
      </c>
      <c r="D52">
        <v>29.5656</v>
      </c>
      <c r="E52" t="s">
        <v>105</v>
      </c>
      <c r="F52" s="2" t="s">
        <v>97</v>
      </c>
      <c r="G52">
        <v>9</v>
      </c>
      <c r="H52">
        <v>1</v>
      </c>
      <c r="I52" t="s">
        <v>13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33</v>
      </c>
      <c r="P52" t="s">
        <v>104</v>
      </c>
      <c r="Q52">
        <v>2024</v>
      </c>
      <c r="R52" s="4">
        <v>92246689</v>
      </c>
    </row>
    <row r="53" spans="1:18" x14ac:dyDescent="0.25">
      <c r="A53" s="1" t="str">
        <f t="shared" si="3"/>
        <v>FR</v>
      </c>
      <c r="B53" t="s">
        <v>45</v>
      </c>
      <c r="C53">
        <v>44.34</v>
      </c>
      <c r="D53">
        <v>29.5656</v>
      </c>
      <c r="E53" t="s">
        <v>105</v>
      </c>
      <c r="F53" s="2" t="s">
        <v>97</v>
      </c>
      <c r="G53">
        <v>9</v>
      </c>
      <c r="H53">
        <v>1</v>
      </c>
      <c r="I53" t="s">
        <v>14</v>
      </c>
      <c r="J53" t="s">
        <v>33</v>
      </c>
      <c r="K53" t="s">
        <v>33</v>
      </c>
      <c r="L53" t="s">
        <v>33</v>
      </c>
      <c r="M53" t="s">
        <v>33</v>
      </c>
      <c r="N53" t="s">
        <v>33</v>
      </c>
      <c r="O53" t="s">
        <v>33</v>
      </c>
      <c r="P53" t="s">
        <v>104</v>
      </c>
      <c r="Q53">
        <v>2024</v>
      </c>
      <c r="R53" s="4">
        <v>92246689</v>
      </c>
    </row>
    <row r="54" spans="1:18" x14ac:dyDescent="0.25">
      <c r="A54" s="1" t="str">
        <f t="shared" si="3"/>
        <v>JD</v>
      </c>
      <c r="B54" t="s">
        <v>112</v>
      </c>
      <c r="C54">
        <v>29.189</v>
      </c>
      <c r="D54">
        <v>2.4</v>
      </c>
      <c r="E54" t="s">
        <v>32</v>
      </c>
      <c r="F54" s="2" t="s">
        <v>96</v>
      </c>
      <c r="G54">
        <v>5</v>
      </c>
      <c r="H54">
        <v>1</v>
      </c>
      <c r="I54" t="s">
        <v>13</v>
      </c>
      <c r="J54" t="s">
        <v>33</v>
      </c>
      <c r="K54" t="s">
        <v>33</v>
      </c>
      <c r="L54" t="s">
        <v>33</v>
      </c>
      <c r="M54" t="s">
        <v>33</v>
      </c>
      <c r="N54" t="s">
        <v>33</v>
      </c>
      <c r="O54" t="s">
        <v>33</v>
      </c>
      <c r="P54" t="s">
        <v>104</v>
      </c>
      <c r="Q54">
        <v>2024</v>
      </c>
      <c r="R54" s="4">
        <v>92240333</v>
      </c>
    </row>
    <row r="55" spans="1:18" x14ac:dyDescent="0.25">
      <c r="A55" s="1" t="str">
        <f t="shared" si="3"/>
        <v>JD</v>
      </c>
      <c r="B55" t="s">
        <v>112</v>
      </c>
      <c r="C55">
        <v>29.189</v>
      </c>
      <c r="D55">
        <v>2.4</v>
      </c>
      <c r="E55" t="s">
        <v>32</v>
      </c>
      <c r="F55" s="2" t="s">
        <v>96</v>
      </c>
      <c r="G55">
        <v>5</v>
      </c>
      <c r="H55">
        <v>1</v>
      </c>
      <c r="I55" t="s">
        <v>14</v>
      </c>
      <c r="J55" t="s">
        <v>33</v>
      </c>
      <c r="K55" t="s">
        <v>33</v>
      </c>
      <c r="L55" t="s">
        <v>33</v>
      </c>
      <c r="M55" t="s">
        <v>33</v>
      </c>
      <c r="N55" t="s">
        <v>33</v>
      </c>
      <c r="O55" t="s">
        <v>33</v>
      </c>
      <c r="P55" t="s">
        <v>104</v>
      </c>
      <c r="Q55">
        <v>2024</v>
      </c>
      <c r="R55" s="4">
        <v>92240333</v>
      </c>
    </row>
    <row r="56" spans="1:18" x14ac:dyDescent="0.25">
      <c r="A56" s="1" t="str">
        <f t="shared" si="3"/>
        <v>JD</v>
      </c>
      <c r="B56" t="s">
        <v>46</v>
      </c>
      <c r="C56">
        <v>13.051</v>
      </c>
      <c r="D56">
        <v>3.42</v>
      </c>
      <c r="E56" t="s">
        <v>32</v>
      </c>
      <c r="F56" s="2" t="s">
        <v>96</v>
      </c>
      <c r="G56">
        <v>9</v>
      </c>
      <c r="H56">
        <v>1</v>
      </c>
      <c r="I56" t="s">
        <v>13</v>
      </c>
      <c r="J56" t="s">
        <v>33</v>
      </c>
      <c r="K56" t="s">
        <v>33</v>
      </c>
      <c r="L56" t="s">
        <v>33</v>
      </c>
      <c r="M56" t="s">
        <v>33</v>
      </c>
      <c r="N56" t="s">
        <v>33</v>
      </c>
      <c r="O56" t="s">
        <v>33</v>
      </c>
      <c r="P56" t="s">
        <v>104</v>
      </c>
      <c r="Q56">
        <v>2024</v>
      </c>
      <c r="R56" s="4">
        <v>92240358</v>
      </c>
    </row>
    <row r="57" spans="1:18" x14ac:dyDescent="0.25">
      <c r="A57" s="1" t="str">
        <f t="shared" si="3"/>
        <v>JD</v>
      </c>
      <c r="B57" t="s">
        <v>46</v>
      </c>
      <c r="C57">
        <v>13.051</v>
      </c>
      <c r="D57">
        <v>3.42</v>
      </c>
      <c r="E57" t="s">
        <v>32</v>
      </c>
      <c r="F57" s="2" t="s">
        <v>96</v>
      </c>
      <c r="G57">
        <v>9</v>
      </c>
      <c r="H57">
        <v>1</v>
      </c>
      <c r="I57" t="s">
        <v>14</v>
      </c>
      <c r="J57" t="s">
        <v>33</v>
      </c>
      <c r="K57" t="s">
        <v>33</v>
      </c>
      <c r="L57" t="s">
        <v>33</v>
      </c>
      <c r="M57" t="s">
        <v>33</v>
      </c>
      <c r="N57" t="s">
        <v>33</v>
      </c>
      <c r="O57" t="s">
        <v>33</v>
      </c>
      <c r="P57" t="s">
        <v>104</v>
      </c>
      <c r="Q57">
        <v>2024</v>
      </c>
      <c r="R57" s="4">
        <v>92240358</v>
      </c>
    </row>
    <row r="58" spans="1:18" x14ac:dyDescent="0.25">
      <c r="A58" s="1" t="str">
        <f t="shared" si="3"/>
        <v>JD</v>
      </c>
      <c r="B58" t="s">
        <v>47</v>
      </c>
      <c r="C58">
        <v>9.8680000000000003</v>
      </c>
      <c r="D58">
        <v>3.68</v>
      </c>
      <c r="E58" t="s">
        <v>32</v>
      </c>
      <c r="F58" s="2" t="s">
        <v>96</v>
      </c>
      <c r="G58">
        <v>7</v>
      </c>
      <c r="H58">
        <v>1</v>
      </c>
      <c r="I58" t="s">
        <v>13</v>
      </c>
      <c r="J58" t="s">
        <v>33</v>
      </c>
      <c r="K58" t="s">
        <v>33</v>
      </c>
      <c r="L58" t="s">
        <v>33</v>
      </c>
      <c r="M58" t="s">
        <v>33</v>
      </c>
      <c r="N58" t="s">
        <v>33</v>
      </c>
      <c r="O58" t="s">
        <v>33</v>
      </c>
      <c r="P58" t="s">
        <v>104</v>
      </c>
      <c r="Q58">
        <v>2024</v>
      </c>
      <c r="R58" s="4">
        <v>92240370</v>
      </c>
    </row>
    <row r="59" spans="1:18" x14ac:dyDescent="0.25">
      <c r="A59" s="1" t="str">
        <f t="shared" si="3"/>
        <v>JD</v>
      </c>
      <c r="B59" t="s">
        <v>47</v>
      </c>
      <c r="C59">
        <v>9.8680000000000003</v>
      </c>
      <c r="D59">
        <v>3.68</v>
      </c>
      <c r="E59" t="s">
        <v>32</v>
      </c>
      <c r="F59" s="2" t="s">
        <v>96</v>
      </c>
      <c r="G59">
        <v>7</v>
      </c>
      <c r="H59">
        <v>1</v>
      </c>
      <c r="I59" t="s">
        <v>14</v>
      </c>
      <c r="J59" t="s">
        <v>33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104</v>
      </c>
      <c r="Q59">
        <v>2024</v>
      </c>
      <c r="R59" s="4">
        <v>92240370</v>
      </c>
    </row>
    <row r="60" spans="1:18" x14ac:dyDescent="0.25">
      <c r="A60" s="1" t="str">
        <f t="shared" si="3"/>
        <v>JD</v>
      </c>
      <c r="B60" t="s">
        <v>48</v>
      </c>
      <c r="C60">
        <v>23.873000000000001</v>
      </c>
      <c r="D60">
        <v>3.4</v>
      </c>
      <c r="E60" t="s">
        <v>49</v>
      </c>
      <c r="F60" s="2" t="s">
        <v>98</v>
      </c>
      <c r="G60">
        <v>10</v>
      </c>
      <c r="H60">
        <v>1</v>
      </c>
      <c r="I60" t="s">
        <v>13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33</v>
      </c>
      <c r="P60" t="s">
        <v>104</v>
      </c>
      <c r="Q60">
        <v>2024</v>
      </c>
      <c r="R60" s="4">
        <v>92240360</v>
      </c>
    </row>
    <row r="61" spans="1:18" x14ac:dyDescent="0.25">
      <c r="A61" s="1" t="str">
        <f t="shared" si="3"/>
        <v>JD</v>
      </c>
      <c r="B61" t="s">
        <v>48</v>
      </c>
      <c r="C61">
        <v>23.873000000000001</v>
      </c>
      <c r="D61">
        <v>3.4</v>
      </c>
      <c r="E61" t="s">
        <v>49</v>
      </c>
      <c r="F61" s="2" t="s">
        <v>98</v>
      </c>
      <c r="G61">
        <v>10</v>
      </c>
      <c r="H61">
        <v>1</v>
      </c>
      <c r="I61" t="s">
        <v>14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104</v>
      </c>
      <c r="Q61">
        <v>2024</v>
      </c>
      <c r="R61" s="4">
        <v>92240360</v>
      </c>
    </row>
    <row r="62" spans="1:18" x14ac:dyDescent="0.25">
      <c r="A62" s="1" t="str">
        <f t="shared" si="3"/>
        <v>JD</v>
      </c>
      <c r="B62" t="s">
        <v>50</v>
      </c>
      <c r="C62">
        <v>15.597</v>
      </c>
      <c r="D62">
        <v>3.85</v>
      </c>
      <c r="E62" t="s">
        <v>32</v>
      </c>
      <c r="F62" s="2" t="s">
        <v>96</v>
      </c>
      <c r="G62">
        <v>10</v>
      </c>
      <c r="H62">
        <v>1</v>
      </c>
      <c r="I62" t="s">
        <v>13</v>
      </c>
      <c r="J62" t="s">
        <v>33</v>
      </c>
      <c r="K62" t="s">
        <v>33</v>
      </c>
      <c r="L62" t="s">
        <v>33</v>
      </c>
      <c r="M62" t="s">
        <v>33</v>
      </c>
      <c r="N62" t="s">
        <v>33</v>
      </c>
      <c r="O62" t="s">
        <v>33</v>
      </c>
      <c r="P62" t="s">
        <v>104</v>
      </c>
      <c r="Q62">
        <v>2024</v>
      </c>
      <c r="R62" s="4">
        <v>92240361</v>
      </c>
    </row>
    <row r="63" spans="1:18" x14ac:dyDescent="0.25">
      <c r="A63" s="1" t="str">
        <f t="shared" si="3"/>
        <v>JD</v>
      </c>
      <c r="B63" t="s">
        <v>50</v>
      </c>
      <c r="C63">
        <v>15.597</v>
      </c>
      <c r="D63">
        <v>3.85</v>
      </c>
      <c r="E63" t="s">
        <v>32</v>
      </c>
      <c r="F63" s="2" t="s">
        <v>96</v>
      </c>
      <c r="G63">
        <v>10</v>
      </c>
      <c r="H63">
        <v>1</v>
      </c>
      <c r="I63" t="s">
        <v>14</v>
      </c>
      <c r="J63" t="s">
        <v>33</v>
      </c>
      <c r="K63" t="s">
        <v>33</v>
      </c>
      <c r="L63" t="s">
        <v>33</v>
      </c>
      <c r="M63" t="s">
        <v>33</v>
      </c>
      <c r="N63" t="s">
        <v>33</v>
      </c>
      <c r="O63" t="s">
        <v>33</v>
      </c>
      <c r="P63" t="s">
        <v>104</v>
      </c>
      <c r="Q63">
        <v>2024</v>
      </c>
      <c r="R63" s="4">
        <v>92240361</v>
      </c>
    </row>
    <row r="64" spans="1:18" x14ac:dyDescent="0.25">
      <c r="A64" s="1" t="str">
        <f t="shared" si="3"/>
        <v>KB</v>
      </c>
      <c r="B64" t="s">
        <v>51</v>
      </c>
      <c r="C64">
        <v>67.83</v>
      </c>
      <c r="D64">
        <v>32.125999999999998</v>
      </c>
      <c r="E64" t="s">
        <v>22</v>
      </c>
      <c r="F64" s="2" t="s">
        <v>94</v>
      </c>
      <c r="G64">
        <v>9</v>
      </c>
      <c r="H64">
        <v>1</v>
      </c>
      <c r="I64" t="s">
        <v>13</v>
      </c>
      <c r="J64">
        <v>2.48</v>
      </c>
      <c r="K64">
        <v>16.170000000000002</v>
      </c>
      <c r="L64">
        <v>10.016299999999999</v>
      </c>
      <c r="M64" t="s">
        <v>33</v>
      </c>
      <c r="N64">
        <f t="shared" ref="N64:N89" si="6">(K64-L64)/K64</f>
        <v>0.38056277056277066</v>
      </c>
      <c r="O64" t="s">
        <v>33</v>
      </c>
      <c r="P64" t="s">
        <v>104</v>
      </c>
      <c r="Q64">
        <v>2024</v>
      </c>
      <c r="R64" s="4">
        <v>92246653</v>
      </c>
    </row>
    <row r="65" spans="1:18" x14ac:dyDescent="0.25">
      <c r="A65" s="1" t="str">
        <f t="shared" si="3"/>
        <v>KB</v>
      </c>
      <c r="B65" t="s">
        <v>51</v>
      </c>
      <c r="C65">
        <v>67.83</v>
      </c>
      <c r="D65">
        <v>32.125999999999998</v>
      </c>
      <c r="E65" t="s">
        <v>22</v>
      </c>
      <c r="F65" s="2" t="s">
        <v>94</v>
      </c>
      <c r="G65">
        <v>9</v>
      </c>
      <c r="H65">
        <v>1</v>
      </c>
      <c r="I65" t="s">
        <v>14</v>
      </c>
      <c r="J65">
        <v>2.9380000000000002</v>
      </c>
      <c r="K65">
        <v>11.22</v>
      </c>
      <c r="L65">
        <v>7.5319000000000003</v>
      </c>
      <c r="M65" t="s">
        <v>33</v>
      </c>
      <c r="N65">
        <f t="shared" si="6"/>
        <v>0.3287076648841355</v>
      </c>
      <c r="O65" t="s">
        <v>33</v>
      </c>
      <c r="P65" t="s">
        <v>104</v>
      </c>
      <c r="Q65">
        <v>2024</v>
      </c>
      <c r="R65" s="4">
        <v>92246653</v>
      </c>
    </row>
    <row r="66" spans="1:18" x14ac:dyDescent="0.25">
      <c r="A66" s="1" t="str">
        <f t="shared" ref="A66:A97" si="7">LEFT(B66,FIND("-",B66)-1)</f>
        <v>KB</v>
      </c>
      <c r="B66" t="s">
        <v>52</v>
      </c>
      <c r="C66">
        <v>73.180000000000007</v>
      </c>
      <c r="D66">
        <v>38.07</v>
      </c>
      <c r="E66" t="s">
        <v>22</v>
      </c>
      <c r="F66" s="2" t="s">
        <v>94</v>
      </c>
      <c r="G66">
        <v>4</v>
      </c>
      <c r="H66">
        <v>1</v>
      </c>
      <c r="I66" t="s">
        <v>13</v>
      </c>
      <c r="J66">
        <v>1.8540000000000001</v>
      </c>
      <c r="K66">
        <v>3.76</v>
      </c>
      <c r="L66">
        <v>1.6686000000000001</v>
      </c>
      <c r="M66" t="s">
        <v>33</v>
      </c>
      <c r="N66">
        <f t="shared" si="6"/>
        <v>0.55622340425531913</v>
      </c>
      <c r="O66" t="s">
        <v>33</v>
      </c>
      <c r="P66" t="s">
        <v>104</v>
      </c>
      <c r="Q66">
        <v>2024</v>
      </c>
      <c r="R66" s="4">
        <v>92246655</v>
      </c>
    </row>
    <row r="67" spans="1:18" x14ac:dyDescent="0.25">
      <c r="A67" s="1" t="str">
        <f t="shared" si="7"/>
        <v>KB</v>
      </c>
      <c r="B67" t="s">
        <v>52</v>
      </c>
      <c r="C67">
        <v>73.180000000000007</v>
      </c>
      <c r="D67">
        <v>38.07</v>
      </c>
      <c r="E67" t="s">
        <v>22</v>
      </c>
      <c r="F67" s="2" t="s">
        <v>94</v>
      </c>
      <c r="G67">
        <v>4</v>
      </c>
      <c r="H67">
        <v>1</v>
      </c>
      <c r="I67" t="s">
        <v>14</v>
      </c>
      <c r="J67">
        <v>1.76</v>
      </c>
      <c r="K67">
        <v>7.37</v>
      </c>
      <c r="L67">
        <v>3.9575999999999998</v>
      </c>
      <c r="M67" t="s">
        <v>33</v>
      </c>
      <c r="N67">
        <f t="shared" si="6"/>
        <v>0.46301221166892814</v>
      </c>
      <c r="O67" t="s">
        <v>33</v>
      </c>
      <c r="P67" t="s">
        <v>104</v>
      </c>
      <c r="Q67">
        <v>2024</v>
      </c>
      <c r="R67" s="4">
        <v>92246655</v>
      </c>
    </row>
    <row r="68" spans="1:18" x14ac:dyDescent="0.25">
      <c r="A68" s="1" t="str">
        <f t="shared" si="7"/>
        <v>KB</v>
      </c>
      <c r="B68" t="s">
        <v>53</v>
      </c>
      <c r="C68">
        <v>47.56</v>
      </c>
      <c r="D68">
        <v>19.751000000000001</v>
      </c>
      <c r="E68" t="s">
        <v>105</v>
      </c>
      <c r="F68" s="2" t="s">
        <v>97</v>
      </c>
      <c r="G68">
        <v>9</v>
      </c>
      <c r="H68">
        <v>1</v>
      </c>
      <c r="I68" t="s">
        <v>13</v>
      </c>
      <c r="J68">
        <v>3.52</v>
      </c>
      <c r="K68">
        <v>3.25</v>
      </c>
      <c r="L68">
        <v>1.7209000000000001</v>
      </c>
      <c r="M68" t="s">
        <v>33</v>
      </c>
      <c r="N68">
        <f t="shared" si="6"/>
        <v>0.47049230769230765</v>
      </c>
      <c r="O68" t="s">
        <v>33</v>
      </c>
      <c r="P68" t="s">
        <v>104</v>
      </c>
      <c r="Q68">
        <v>2024</v>
      </c>
      <c r="R68" s="4">
        <v>92246654</v>
      </c>
    </row>
    <row r="69" spans="1:18" x14ac:dyDescent="0.25">
      <c r="A69" s="1" t="str">
        <f t="shared" si="7"/>
        <v>KB</v>
      </c>
      <c r="B69" t="s">
        <v>53</v>
      </c>
      <c r="C69">
        <v>47.56</v>
      </c>
      <c r="D69">
        <v>19.751000000000001</v>
      </c>
      <c r="E69" t="s">
        <v>105</v>
      </c>
      <c r="F69" s="2" t="s">
        <v>97</v>
      </c>
      <c r="G69">
        <v>9</v>
      </c>
      <c r="H69">
        <v>1</v>
      </c>
      <c r="I69" t="s">
        <v>14</v>
      </c>
      <c r="J69">
        <v>3.9580000000000002</v>
      </c>
      <c r="K69">
        <v>3.57</v>
      </c>
      <c r="L69">
        <v>1.5435000000000001</v>
      </c>
      <c r="M69" t="s">
        <v>33</v>
      </c>
      <c r="N69">
        <f t="shared" si="6"/>
        <v>0.56764705882352928</v>
      </c>
      <c r="O69" t="s">
        <v>33</v>
      </c>
      <c r="P69" t="s">
        <v>104</v>
      </c>
      <c r="Q69">
        <v>2024</v>
      </c>
      <c r="R69" s="4">
        <v>92246654</v>
      </c>
    </row>
    <row r="70" spans="1:18" x14ac:dyDescent="0.25">
      <c r="A70" s="1" t="str">
        <f t="shared" si="7"/>
        <v>KB</v>
      </c>
      <c r="B70" t="s">
        <v>54</v>
      </c>
      <c r="C70">
        <v>31.29</v>
      </c>
      <c r="D70">
        <v>17.587</v>
      </c>
      <c r="E70" t="s">
        <v>15</v>
      </c>
      <c r="F70" s="2" t="s">
        <v>93</v>
      </c>
      <c r="G70">
        <v>5</v>
      </c>
      <c r="H70">
        <v>1</v>
      </c>
      <c r="I70" t="s">
        <v>13</v>
      </c>
      <c r="J70">
        <v>1.59</v>
      </c>
      <c r="K70">
        <v>10.01</v>
      </c>
      <c r="L70">
        <v>5.1741999999999999</v>
      </c>
      <c r="M70" t="s">
        <v>33</v>
      </c>
      <c r="N70">
        <f t="shared" si="6"/>
        <v>0.48309690309690312</v>
      </c>
      <c r="O70" t="s">
        <v>33</v>
      </c>
      <c r="P70" t="s">
        <v>104</v>
      </c>
      <c r="Q70">
        <v>2024</v>
      </c>
      <c r="R70" s="4">
        <v>92246652</v>
      </c>
    </row>
    <row r="71" spans="1:18" x14ac:dyDescent="0.25">
      <c r="A71" s="1" t="str">
        <f t="shared" si="7"/>
        <v>KB</v>
      </c>
      <c r="B71" t="s">
        <v>54</v>
      </c>
      <c r="C71">
        <v>31.29</v>
      </c>
      <c r="D71">
        <v>17.587</v>
      </c>
      <c r="E71" t="s">
        <v>15</v>
      </c>
      <c r="F71" s="2" t="s">
        <v>93</v>
      </c>
      <c r="G71">
        <v>5</v>
      </c>
      <c r="H71">
        <v>1</v>
      </c>
      <c r="I71" t="s">
        <v>14</v>
      </c>
      <c r="J71">
        <v>1.46</v>
      </c>
      <c r="K71">
        <v>18.02</v>
      </c>
      <c r="L71">
        <v>10.9389</v>
      </c>
      <c r="M71" t="s">
        <v>33</v>
      </c>
      <c r="N71">
        <f t="shared" si="6"/>
        <v>0.39295782463928963</v>
      </c>
      <c r="O71" t="s">
        <v>33</v>
      </c>
      <c r="P71" t="s">
        <v>104</v>
      </c>
      <c r="Q71">
        <v>2024</v>
      </c>
      <c r="R71" s="4">
        <v>92246652</v>
      </c>
    </row>
    <row r="72" spans="1:18" x14ac:dyDescent="0.25">
      <c r="A72" s="1" t="str">
        <f t="shared" si="7"/>
        <v>KB</v>
      </c>
      <c r="B72" t="s">
        <v>55</v>
      </c>
      <c r="C72">
        <v>43.58</v>
      </c>
      <c r="D72">
        <v>22.646999999999998</v>
      </c>
      <c r="E72" t="s">
        <v>105</v>
      </c>
      <c r="F72" s="2" t="s">
        <v>97</v>
      </c>
      <c r="G72">
        <v>10</v>
      </c>
      <c r="H72">
        <v>1</v>
      </c>
      <c r="I72" t="s">
        <v>13</v>
      </c>
      <c r="J72">
        <v>3.1859999999999999</v>
      </c>
      <c r="K72">
        <v>2.12</v>
      </c>
      <c r="L72">
        <v>1.5476000000000001</v>
      </c>
      <c r="M72" t="s">
        <v>33</v>
      </c>
      <c r="N72">
        <f t="shared" si="6"/>
        <v>0.27</v>
      </c>
      <c r="O72" t="s">
        <v>33</v>
      </c>
      <c r="P72" t="s">
        <v>104</v>
      </c>
      <c r="Q72">
        <v>2024</v>
      </c>
      <c r="R72" s="4">
        <v>92246651</v>
      </c>
    </row>
    <row r="73" spans="1:18" x14ac:dyDescent="0.25">
      <c r="A73" s="1" t="str">
        <f t="shared" si="7"/>
        <v>KB</v>
      </c>
      <c r="B73" t="s">
        <v>55</v>
      </c>
      <c r="C73">
        <v>43.58</v>
      </c>
      <c r="D73">
        <v>22.646999999999998</v>
      </c>
      <c r="E73" t="s">
        <v>105</v>
      </c>
      <c r="F73" s="2" t="s">
        <v>97</v>
      </c>
      <c r="G73">
        <v>10</v>
      </c>
      <c r="H73">
        <v>1</v>
      </c>
      <c r="I73" t="s">
        <v>14</v>
      </c>
      <c r="J73">
        <v>4.43</v>
      </c>
      <c r="K73">
        <v>2.86</v>
      </c>
      <c r="L73">
        <v>1.4933000000000001</v>
      </c>
      <c r="M73" t="s">
        <v>33</v>
      </c>
      <c r="N73">
        <f t="shared" si="6"/>
        <v>0.47786713286713284</v>
      </c>
      <c r="O73" t="s">
        <v>33</v>
      </c>
      <c r="P73" t="s">
        <v>104</v>
      </c>
      <c r="Q73">
        <v>2024</v>
      </c>
      <c r="R73" s="4">
        <v>92246651</v>
      </c>
    </row>
    <row r="74" spans="1:18" x14ac:dyDescent="0.25">
      <c r="A74" s="1" t="str">
        <f t="shared" si="7"/>
        <v>KB</v>
      </c>
      <c r="B74" t="s">
        <v>56</v>
      </c>
      <c r="C74">
        <v>72.989999999999995</v>
      </c>
      <c r="D74">
        <v>32.765999999999998</v>
      </c>
      <c r="E74" s="1" t="s">
        <v>106</v>
      </c>
      <c r="F74" s="2" t="s">
        <v>99</v>
      </c>
      <c r="G74">
        <v>6</v>
      </c>
      <c r="H74">
        <v>1</v>
      </c>
      <c r="I74" t="s">
        <v>13</v>
      </c>
      <c r="J74">
        <v>1.635</v>
      </c>
      <c r="K74">
        <v>8.56</v>
      </c>
      <c r="L74">
        <v>4.9122000000000003</v>
      </c>
      <c r="M74" t="s">
        <v>33</v>
      </c>
      <c r="N74">
        <f t="shared" si="6"/>
        <v>0.42614485981308409</v>
      </c>
      <c r="O74" t="s">
        <v>33</v>
      </c>
      <c r="P74" t="s">
        <v>104</v>
      </c>
      <c r="Q74">
        <v>2024</v>
      </c>
      <c r="R74" s="4">
        <v>92240312</v>
      </c>
    </row>
    <row r="75" spans="1:18" x14ac:dyDescent="0.25">
      <c r="A75" s="1" t="str">
        <f t="shared" si="7"/>
        <v>KB</v>
      </c>
      <c r="B75" t="s">
        <v>56</v>
      </c>
      <c r="C75">
        <v>72.989999999999995</v>
      </c>
      <c r="D75">
        <v>32.765999999999998</v>
      </c>
      <c r="E75" s="1" t="s">
        <v>106</v>
      </c>
      <c r="F75" s="2" t="s">
        <v>99</v>
      </c>
      <c r="G75">
        <v>6</v>
      </c>
      <c r="H75">
        <v>1</v>
      </c>
      <c r="I75" t="s">
        <v>14</v>
      </c>
      <c r="J75">
        <v>1.59</v>
      </c>
      <c r="K75">
        <v>2.57</v>
      </c>
      <c r="L75">
        <v>1.4423999999999999</v>
      </c>
      <c r="M75" t="s">
        <v>33</v>
      </c>
      <c r="N75">
        <f t="shared" si="6"/>
        <v>0.43875486381322959</v>
      </c>
      <c r="O75" t="s">
        <v>33</v>
      </c>
      <c r="P75" t="s">
        <v>104</v>
      </c>
      <c r="Q75">
        <v>2024</v>
      </c>
      <c r="R75" s="4">
        <v>92240312</v>
      </c>
    </row>
    <row r="76" spans="1:18" x14ac:dyDescent="0.25">
      <c r="A76" s="1" t="str">
        <f t="shared" si="7"/>
        <v>KB</v>
      </c>
      <c r="B76" t="s">
        <v>57</v>
      </c>
      <c r="C76">
        <v>45.17</v>
      </c>
      <c r="D76">
        <v>17.853000000000002</v>
      </c>
      <c r="E76" t="s">
        <v>105</v>
      </c>
      <c r="F76" s="2" t="s">
        <v>97</v>
      </c>
      <c r="G76">
        <v>2</v>
      </c>
      <c r="H76">
        <v>1</v>
      </c>
      <c r="I76" t="s">
        <v>13</v>
      </c>
      <c r="J76">
        <v>2.67</v>
      </c>
      <c r="K76">
        <v>5.13</v>
      </c>
      <c r="L76">
        <v>2.7812000000000001</v>
      </c>
      <c r="M76" t="s">
        <v>33</v>
      </c>
      <c r="N76">
        <f t="shared" si="6"/>
        <v>0.4578557504873294</v>
      </c>
      <c r="O76" t="s">
        <v>33</v>
      </c>
      <c r="P76" t="s">
        <v>104</v>
      </c>
      <c r="Q76">
        <v>2024</v>
      </c>
      <c r="R76" s="4">
        <v>92246679</v>
      </c>
    </row>
    <row r="77" spans="1:18" x14ac:dyDescent="0.25">
      <c r="A77" s="1" t="str">
        <f t="shared" si="7"/>
        <v>KB</v>
      </c>
      <c r="B77" t="s">
        <v>57</v>
      </c>
      <c r="C77">
        <v>45.17</v>
      </c>
      <c r="D77">
        <v>17.853000000000002</v>
      </c>
      <c r="E77" t="s">
        <v>105</v>
      </c>
      <c r="F77" s="2" t="s">
        <v>97</v>
      </c>
      <c r="G77">
        <v>2</v>
      </c>
      <c r="H77">
        <v>1</v>
      </c>
      <c r="I77" t="s">
        <v>14</v>
      </c>
      <c r="J77">
        <v>2.9129999999999998</v>
      </c>
      <c r="K77">
        <v>7.31</v>
      </c>
      <c r="L77">
        <v>3.6145999999999998</v>
      </c>
      <c r="M77" t="s">
        <v>33</v>
      </c>
      <c r="N77">
        <f t="shared" si="6"/>
        <v>0.50552667578659372</v>
      </c>
      <c r="O77" t="s">
        <v>33</v>
      </c>
      <c r="P77" t="s">
        <v>104</v>
      </c>
      <c r="Q77">
        <v>2024</v>
      </c>
      <c r="R77" s="4">
        <v>92246679</v>
      </c>
    </row>
    <row r="78" spans="1:18" x14ac:dyDescent="0.25">
      <c r="A78" s="1" t="str">
        <f t="shared" si="7"/>
        <v>KB</v>
      </c>
      <c r="B78" t="s">
        <v>58</v>
      </c>
      <c r="C78">
        <v>16.934000000000001</v>
      </c>
      <c r="D78">
        <v>16.734000000000002</v>
      </c>
      <c r="E78" t="s">
        <v>105</v>
      </c>
      <c r="F78" s="2" t="s">
        <v>97</v>
      </c>
      <c r="G78">
        <v>10</v>
      </c>
      <c r="H78">
        <v>1</v>
      </c>
      <c r="I78" t="s">
        <v>13</v>
      </c>
      <c r="J78">
        <v>2.89</v>
      </c>
      <c r="K78">
        <v>6.81</v>
      </c>
      <c r="L78">
        <v>3.1398999999999999</v>
      </c>
      <c r="M78" t="s">
        <v>33</v>
      </c>
      <c r="N78">
        <f t="shared" si="6"/>
        <v>0.53892804698972097</v>
      </c>
      <c r="O78" t="s">
        <v>33</v>
      </c>
      <c r="P78" t="s">
        <v>104</v>
      </c>
      <c r="Q78">
        <v>2024</v>
      </c>
      <c r="R78" s="4">
        <v>92246678</v>
      </c>
    </row>
    <row r="79" spans="1:18" x14ac:dyDescent="0.25">
      <c r="A79" s="1" t="str">
        <f t="shared" si="7"/>
        <v>KB</v>
      </c>
      <c r="B79" t="s">
        <v>58</v>
      </c>
      <c r="C79">
        <v>16.934000000000001</v>
      </c>
      <c r="D79">
        <v>16.734000000000002</v>
      </c>
      <c r="E79" t="s">
        <v>105</v>
      </c>
      <c r="F79" s="2" t="s">
        <v>97</v>
      </c>
      <c r="G79">
        <v>10</v>
      </c>
      <c r="H79">
        <v>1</v>
      </c>
      <c r="I79" t="s">
        <v>14</v>
      </c>
      <c r="J79">
        <v>3.05</v>
      </c>
      <c r="K79">
        <v>2.5</v>
      </c>
      <c r="L79">
        <v>0.6653</v>
      </c>
      <c r="M79" t="s">
        <v>33</v>
      </c>
      <c r="N79">
        <f t="shared" si="6"/>
        <v>0.73387999999999998</v>
      </c>
      <c r="O79" t="s">
        <v>33</v>
      </c>
      <c r="P79" t="s">
        <v>104</v>
      </c>
      <c r="Q79">
        <v>2024</v>
      </c>
      <c r="R79" s="4">
        <v>92246678</v>
      </c>
    </row>
    <row r="80" spans="1:18" x14ac:dyDescent="0.25">
      <c r="A80" s="1" t="str">
        <f t="shared" si="7"/>
        <v>KB</v>
      </c>
      <c r="B80" t="s">
        <v>59</v>
      </c>
      <c r="C80">
        <v>69.650000000000006</v>
      </c>
      <c r="D80">
        <v>29.87</v>
      </c>
      <c r="E80" t="s">
        <v>17</v>
      </c>
      <c r="F80" s="2" t="s">
        <v>91</v>
      </c>
      <c r="G80">
        <v>5</v>
      </c>
      <c r="H80">
        <v>1</v>
      </c>
      <c r="I80" t="s">
        <v>13</v>
      </c>
      <c r="J80">
        <v>2.698</v>
      </c>
      <c r="K80">
        <v>3.41</v>
      </c>
      <c r="L80">
        <v>1.8787</v>
      </c>
      <c r="M80" t="s">
        <v>33</v>
      </c>
      <c r="N80">
        <f t="shared" si="6"/>
        <v>0.44906158357771264</v>
      </c>
      <c r="O80" t="s">
        <v>33</v>
      </c>
      <c r="P80" t="s">
        <v>104</v>
      </c>
      <c r="Q80">
        <v>2024</v>
      </c>
      <c r="R80" s="4">
        <v>92246677</v>
      </c>
    </row>
    <row r="81" spans="1:18" x14ac:dyDescent="0.25">
      <c r="A81" s="1" t="str">
        <f t="shared" si="7"/>
        <v>KB</v>
      </c>
      <c r="B81" t="s">
        <v>59</v>
      </c>
      <c r="C81">
        <v>69.650000000000006</v>
      </c>
      <c r="D81">
        <v>29.87</v>
      </c>
      <c r="E81" t="s">
        <v>17</v>
      </c>
      <c r="F81" s="2" t="s">
        <v>91</v>
      </c>
      <c r="G81">
        <v>5</v>
      </c>
      <c r="H81">
        <v>1</v>
      </c>
      <c r="I81" t="s">
        <v>14</v>
      </c>
      <c r="J81">
        <v>2.4630000000000001</v>
      </c>
      <c r="K81">
        <v>9.6999999999999993</v>
      </c>
      <c r="L81">
        <v>5.4363999999999999</v>
      </c>
      <c r="M81" t="s">
        <v>33</v>
      </c>
      <c r="N81">
        <f t="shared" si="6"/>
        <v>0.43954639175257731</v>
      </c>
      <c r="O81" t="s">
        <v>33</v>
      </c>
      <c r="P81" t="s">
        <v>104</v>
      </c>
      <c r="Q81">
        <v>2024</v>
      </c>
      <c r="R81" s="4">
        <v>92246677</v>
      </c>
    </row>
    <row r="82" spans="1:18" x14ac:dyDescent="0.25">
      <c r="A82" s="1" t="str">
        <f t="shared" si="7"/>
        <v>KB</v>
      </c>
      <c r="B82" t="s">
        <v>60</v>
      </c>
      <c r="C82">
        <v>88.33</v>
      </c>
      <c r="D82">
        <v>31.029</v>
      </c>
      <c r="E82" t="s">
        <v>17</v>
      </c>
      <c r="F82" s="2" t="s">
        <v>91</v>
      </c>
      <c r="G82">
        <v>10</v>
      </c>
      <c r="H82">
        <v>1</v>
      </c>
      <c r="I82" t="s">
        <v>13</v>
      </c>
      <c r="J82">
        <v>2.7679999999999998</v>
      </c>
      <c r="K82">
        <v>8.25</v>
      </c>
      <c r="L82">
        <v>4.9436999999999998</v>
      </c>
      <c r="M82" t="s">
        <v>33</v>
      </c>
      <c r="N82">
        <f t="shared" si="6"/>
        <v>0.40076363636363638</v>
      </c>
      <c r="O82" t="s">
        <v>33</v>
      </c>
      <c r="P82" t="s">
        <v>104</v>
      </c>
      <c r="Q82">
        <v>2024</v>
      </c>
      <c r="R82" s="4">
        <v>92246680</v>
      </c>
    </row>
    <row r="83" spans="1:18" x14ac:dyDescent="0.25">
      <c r="A83" s="1" t="str">
        <f t="shared" si="7"/>
        <v>KB</v>
      </c>
      <c r="B83" t="s">
        <v>60</v>
      </c>
      <c r="C83">
        <v>88.33</v>
      </c>
      <c r="D83">
        <v>31.029</v>
      </c>
      <c r="E83" t="s">
        <v>17</v>
      </c>
      <c r="F83" s="2" t="s">
        <v>91</v>
      </c>
      <c r="G83">
        <v>10</v>
      </c>
      <c r="H83">
        <v>1</v>
      </c>
      <c r="I83" t="s">
        <v>14</v>
      </c>
      <c r="J83">
        <v>2.2730000000000001</v>
      </c>
      <c r="K83">
        <v>2</v>
      </c>
      <c r="L83">
        <v>1.0515000000000001</v>
      </c>
      <c r="M83" t="s">
        <v>33</v>
      </c>
      <c r="N83">
        <f t="shared" si="6"/>
        <v>0.47424999999999995</v>
      </c>
      <c r="O83" t="s">
        <v>33</v>
      </c>
      <c r="P83" t="s">
        <v>104</v>
      </c>
      <c r="Q83">
        <v>2024</v>
      </c>
      <c r="R83" s="4">
        <v>92246680</v>
      </c>
    </row>
    <row r="84" spans="1:18" x14ac:dyDescent="0.25">
      <c r="A84" s="1" t="str">
        <f t="shared" si="7"/>
        <v>KB</v>
      </c>
      <c r="B84" t="s">
        <v>61</v>
      </c>
      <c r="C84">
        <v>95.5</v>
      </c>
      <c r="D84">
        <v>45.536999999999999</v>
      </c>
      <c r="E84" t="s">
        <v>19</v>
      </c>
      <c r="F84" s="2" t="s">
        <v>92</v>
      </c>
      <c r="G84">
        <v>10</v>
      </c>
      <c r="H84">
        <v>1</v>
      </c>
      <c r="I84" t="s">
        <v>13</v>
      </c>
      <c r="J84">
        <v>2.3199999999999998</v>
      </c>
      <c r="K84">
        <v>6.51</v>
      </c>
      <c r="L84">
        <v>3.6276999999999999</v>
      </c>
      <c r="M84" t="s">
        <v>33</v>
      </c>
      <c r="N84">
        <f t="shared" si="6"/>
        <v>0.44274961597542239</v>
      </c>
      <c r="O84" t="s">
        <v>33</v>
      </c>
      <c r="P84" t="s">
        <v>104</v>
      </c>
      <c r="Q84">
        <v>2024</v>
      </c>
      <c r="R84" s="4">
        <v>92246676</v>
      </c>
    </row>
    <row r="85" spans="1:18" x14ac:dyDescent="0.25">
      <c r="A85" s="1" t="str">
        <f t="shared" si="7"/>
        <v>KB</v>
      </c>
      <c r="B85" t="s">
        <v>61</v>
      </c>
      <c r="C85">
        <v>95.5</v>
      </c>
      <c r="D85">
        <v>45.536999999999999</v>
      </c>
      <c r="E85" t="s">
        <v>19</v>
      </c>
      <c r="F85" s="2" t="s">
        <v>92</v>
      </c>
      <c r="G85">
        <v>10</v>
      </c>
      <c r="H85">
        <v>1</v>
      </c>
      <c r="I85" t="s">
        <v>14</v>
      </c>
      <c r="J85">
        <v>2.4969999999999999</v>
      </c>
      <c r="K85">
        <v>8.56</v>
      </c>
      <c r="L85">
        <v>4.8705999999999996</v>
      </c>
      <c r="M85" t="s">
        <v>33</v>
      </c>
      <c r="N85">
        <f t="shared" si="6"/>
        <v>0.43100467289719635</v>
      </c>
      <c r="O85" t="s">
        <v>33</v>
      </c>
      <c r="P85" t="s">
        <v>104</v>
      </c>
      <c r="Q85">
        <v>2024</v>
      </c>
      <c r="R85" s="4">
        <v>92246676</v>
      </c>
    </row>
    <row r="86" spans="1:18" x14ac:dyDescent="0.25">
      <c r="A86" s="1" t="str">
        <f t="shared" si="7"/>
        <v>KB</v>
      </c>
      <c r="B86" t="s">
        <v>62</v>
      </c>
      <c r="C86">
        <v>68.5</v>
      </c>
      <c r="D86">
        <v>18.135999999999999</v>
      </c>
      <c r="E86" t="s">
        <v>105</v>
      </c>
      <c r="F86" s="2" t="s">
        <v>97</v>
      </c>
      <c r="G86">
        <v>3</v>
      </c>
      <c r="H86">
        <v>1</v>
      </c>
      <c r="I86" t="s">
        <v>13</v>
      </c>
      <c r="J86">
        <v>2.6379999999999999</v>
      </c>
      <c r="K86">
        <v>3.67</v>
      </c>
      <c r="L86">
        <v>1.9791000000000001</v>
      </c>
      <c r="M86" t="s">
        <v>33</v>
      </c>
      <c r="N86">
        <f t="shared" si="6"/>
        <v>0.46073569482288823</v>
      </c>
      <c r="O86" t="s">
        <v>33</v>
      </c>
      <c r="P86" t="s">
        <v>104</v>
      </c>
      <c r="Q86">
        <v>2024</v>
      </c>
      <c r="R86" s="4">
        <v>92246641</v>
      </c>
    </row>
    <row r="87" spans="1:18" x14ac:dyDescent="0.25">
      <c r="A87" s="1" t="str">
        <f t="shared" si="7"/>
        <v>KB</v>
      </c>
      <c r="B87" t="s">
        <v>62</v>
      </c>
      <c r="C87">
        <v>68.5</v>
      </c>
      <c r="D87">
        <v>18.135999999999999</v>
      </c>
      <c r="E87" t="s">
        <v>105</v>
      </c>
      <c r="F87" s="2" t="s">
        <v>97</v>
      </c>
      <c r="G87">
        <v>3</v>
      </c>
      <c r="H87">
        <v>1</v>
      </c>
      <c r="I87" t="s">
        <v>14</v>
      </c>
      <c r="J87">
        <v>2.69</v>
      </c>
      <c r="K87">
        <v>2.99</v>
      </c>
      <c r="L87">
        <v>1.5248999999999999</v>
      </c>
      <c r="M87" t="s">
        <v>33</v>
      </c>
      <c r="N87">
        <f t="shared" si="6"/>
        <v>0.49000000000000005</v>
      </c>
      <c r="O87" t="s">
        <v>33</v>
      </c>
      <c r="P87" t="s">
        <v>104</v>
      </c>
      <c r="Q87">
        <v>2024</v>
      </c>
      <c r="R87" s="4">
        <v>92246641</v>
      </c>
    </row>
    <row r="88" spans="1:18" x14ac:dyDescent="0.25">
      <c r="A88" s="1" t="str">
        <f t="shared" si="7"/>
        <v>LM</v>
      </c>
      <c r="B88" t="s">
        <v>63</v>
      </c>
      <c r="C88">
        <v>65.95</v>
      </c>
      <c r="D88">
        <v>20.345400000000001</v>
      </c>
      <c r="E88" t="s">
        <v>25</v>
      </c>
      <c r="F88" s="2" t="s">
        <v>95</v>
      </c>
      <c r="G88">
        <v>7</v>
      </c>
      <c r="H88">
        <v>1</v>
      </c>
      <c r="I88" t="s">
        <v>13</v>
      </c>
      <c r="J88">
        <v>1.66</v>
      </c>
      <c r="K88">
        <v>0.40689999999999998</v>
      </c>
      <c r="L88">
        <v>0.20799999999999999</v>
      </c>
      <c r="M88">
        <v>0.44550000000000001</v>
      </c>
      <c r="N88">
        <f t="shared" si="6"/>
        <v>0.48881789137380194</v>
      </c>
      <c r="O88">
        <f>(K88-L88)/(M88-L88)</f>
        <v>0.83747368421052626</v>
      </c>
      <c r="P88" t="s">
        <v>104</v>
      </c>
      <c r="Q88">
        <v>2024</v>
      </c>
      <c r="R88" s="4">
        <v>92246662</v>
      </c>
    </row>
    <row r="89" spans="1:18" x14ac:dyDescent="0.25">
      <c r="A89" s="1" t="str">
        <f t="shared" si="7"/>
        <v>LM</v>
      </c>
      <c r="B89" t="s">
        <v>63</v>
      </c>
      <c r="C89">
        <v>65.95</v>
      </c>
      <c r="D89">
        <v>20.345400000000001</v>
      </c>
      <c r="E89" t="s">
        <v>25</v>
      </c>
      <c r="F89" s="2" t="s">
        <v>95</v>
      </c>
      <c r="G89">
        <v>7</v>
      </c>
      <c r="H89">
        <v>1</v>
      </c>
      <c r="I89" t="s">
        <v>14</v>
      </c>
      <c r="J89">
        <v>1.8939999999999999</v>
      </c>
      <c r="K89">
        <v>0.24329999999999999</v>
      </c>
      <c r="L89">
        <v>0.13039999999999999</v>
      </c>
      <c r="M89">
        <v>0.2732</v>
      </c>
      <c r="N89">
        <f t="shared" si="6"/>
        <v>0.46403616933826553</v>
      </c>
      <c r="O89">
        <f>(K89-L89)/(M89-L89)</f>
        <v>0.79061624649859941</v>
      </c>
      <c r="P89" t="s">
        <v>104</v>
      </c>
      <c r="Q89">
        <v>2024</v>
      </c>
      <c r="R89" s="4">
        <v>92246662</v>
      </c>
    </row>
    <row r="90" spans="1:18" x14ac:dyDescent="0.25">
      <c r="A90" s="1" t="str">
        <f t="shared" si="7"/>
        <v>LM</v>
      </c>
      <c r="B90" t="s">
        <v>64</v>
      </c>
      <c r="C90">
        <v>34.35</v>
      </c>
      <c r="D90">
        <v>17.475200000000001</v>
      </c>
      <c r="E90" t="s">
        <v>25</v>
      </c>
      <c r="F90" s="2" t="s">
        <v>95</v>
      </c>
      <c r="G90">
        <v>0</v>
      </c>
      <c r="H90">
        <v>1</v>
      </c>
      <c r="I90" t="s">
        <v>13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33</v>
      </c>
      <c r="P90" t="s">
        <v>104</v>
      </c>
      <c r="Q90">
        <v>2024</v>
      </c>
      <c r="R90" s="4">
        <v>92246681</v>
      </c>
    </row>
    <row r="91" spans="1:18" x14ac:dyDescent="0.25">
      <c r="A91" s="1" t="str">
        <f t="shared" si="7"/>
        <v>LM</v>
      </c>
      <c r="B91" t="s">
        <v>64</v>
      </c>
      <c r="C91">
        <v>34.35</v>
      </c>
      <c r="D91">
        <v>17.475200000000001</v>
      </c>
      <c r="E91" t="s">
        <v>25</v>
      </c>
      <c r="F91" s="2" t="s">
        <v>95</v>
      </c>
      <c r="G91">
        <v>0</v>
      </c>
      <c r="H91">
        <v>1</v>
      </c>
      <c r="I91" t="s">
        <v>14</v>
      </c>
      <c r="J91" t="s">
        <v>33</v>
      </c>
      <c r="K91" t="s">
        <v>33</v>
      </c>
      <c r="L91" t="s">
        <v>33</v>
      </c>
      <c r="M91" t="s">
        <v>33</v>
      </c>
      <c r="N91" t="s">
        <v>33</v>
      </c>
      <c r="O91" t="s">
        <v>33</v>
      </c>
      <c r="P91" t="s">
        <v>104</v>
      </c>
      <c r="Q91">
        <v>2024</v>
      </c>
      <c r="R91" s="4">
        <v>92246681</v>
      </c>
    </row>
    <row r="92" spans="1:18" x14ac:dyDescent="0.25">
      <c r="A92" s="1" t="str">
        <f t="shared" si="7"/>
        <v>LM</v>
      </c>
      <c r="B92" t="s">
        <v>65</v>
      </c>
      <c r="C92">
        <v>48.73</v>
      </c>
      <c r="D92">
        <v>20.650200000000002</v>
      </c>
      <c r="E92" t="s">
        <v>25</v>
      </c>
      <c r="F92" s="2" t="s">
        <v>95</v>
      </c>
      <c r="G92">
        <v>0</v>
      </c>
      <c r="H92">
        <v>1</v>
      </c>
      <c r="I92" t="s">
        <v>13</v>
      </c>
      <c r="J92">
        <v>4.9000000000000004</v>
      </c>
      <c r="K92">
        <v>0.1643</v>
      </c>
      <c r="L92">
        <v>0.1573</v>
      </c>
      <c r="M92">
        <v>0.20349999999999999</v>
      </c>
      <c r="N92">
        <f t="shared" ref="N92:N103" si="8">(K92-L92)/K92</f>
        <v>4.2604990870359134E-2</v>
      </c>
      <c r="O92">
        <f t="shared" ref="O92:O103" si="9">(K92-L92)/(M92-L92)</f>
        <v>0.15151515151515169</v>
      </c>
      <c r="P92" t="s">
        <v>104</v>
      </c>
      <c r="Q92">
        <v>2024</v>
      </c>
      <c r="R92" s="4">
        <v>92246663</v>
      </c>
    </row>
    <row r="93" spans="1:18" x14ac:dyDescent="0.25">
      <c r="A93" s="1" t="str">
        <f t="shared" si="7"/>
        <v>LM</v>
      </c>
      <c r="B93" t="s">
        <v>65</v>
      </c>
      <c r="C93">
        <v>48.73</v>
      </c>
      <c r="D93">
        <v>20.650200000000002</v>
      </c>
      <c r="E93" t="s">
        <v>25</v>
      </c>
      <c r="F93" s="2" t="s">
        <v>95</v>
      </c>
      <c r="G93">
        <v>0</v>
      </c>
      <c r="H93">
        <v>1</v>
      </c>
      <c r="I93" t="s">
        <v>14</v>
      </c>
      <c r="J93">
        <v>4.1859999999999999</v>
      </c>
      <c r="K93">
        <v>0.10829999999999999</v>
      </c>
      <c r="L93">
        <v>0.1032</v>
      </c>
      <c r="M93">
        <v>0.1416</v>
      </c>
      <c r="N93">
        <f t="shared" si="8"/>
        <v>4.709141274238221E-2</v>
      </c>
      <c r="O93">
        <f t="shared" si="9"/>
        <v>0.13281249999999981</v>
      </c>
      <c r="P93" t="s">
        <v>104</v>
      </c>
      <c r="Q93">
        <v>2024</v>
      </c>
      <c r="R93" s="4">
        <v>92246663</v>
      </c>
    </row>
    <row r="94" spans="1:18" x14ac:dyDescent="0.25">
      <c r="A94" s="1" t="str">
        <f t="shared" si="7"/>
        <v>LM</v>
      </c>
      <c r="B94" t="s">
        <v>66</v>
      </c>
      <c r="C94">
        <v>54.11</v>
      </c>
      <c r="D94">
        <v>19.6342</v>
      </c>
      <c r="E94" t="s">
        <v>25</v>
      </c>
      <c r="F94" s="2" t="s">
        <v>95</v>
      </c>
      <c r="G94">
        <v>9</v>
      </c>
      <c r="H94">
        <v>1</v>
      </c>
      <c r="I94" t="s">
        <v>13</v>
      </c>
      <c r="J94">
        <v>2.7639999999999998</v>
      </c>
      <c r="K94">
        <v>0.42549999999999999</v>
      </c>
      <c r="L94">
        <v>0.2303</v>
      </c>
      <c r="M94">
        <v>0.44040000000000001</v>
      </c>
      <c r="N94">
        <f t="shared" si="8"/>
        <v>0.45875440658049349</v>
      </c>
      <c r="O94">
        <f t="shared" si="9"/>
        <v>0.92908138981437405</v>
      </c>
      <c r="P94" t="s">
        <v>104</v>
      </c>
      <c r="Q94">
        <v>2024</v>
      </c>
      <c r="R94" s="4">
        <v>92246660</v>
      </c>
    </row>
    <row r="95" spans="1:18" x14ac:dyDescent="0.25">
      <c r="A95" s="1" t="str">
        <f t="shared" si="7"/>
        <v>LM</v>
      </c>
      <c r="B95" t="s">
        <v>66</v>
      </c>
      <c r="C95">
        <v>54.11</v>
      </c>
      <c r="D95">
        <v>19.6342</v>
      </c>
      <c r="E95" t="s">
        <v>25</v>
      </c>
      <c r="F95" s="2" t="s">
        <v>95</v>
      </c>
      <c r="G95">
        <v>9</v>
      </c>
      <c r="H95">
        <v>1</v>
      </c>
      <c r="I95" t="s">
        <v>14</v>
      </c>
      <c r="J95">
        <v>2.1970000000000001</v>
      </c>
      <c r="K95">
        <v>0.49959999999999999</v>
      </c>
      <c r="L95">
        <v>0.25059999999999999</v>
      </c>
      <c r="M95">
        <v>0.5262</v>
      </c>
      <c r="N95">
        <f t="shared" si="8"/>
        <v>0.49839871897518018</v>
      </c>
      <c r="O95">
        <f t="shared" si="9"/>
        <v>0.90348330914368646</v>
      </c>
      <c r="P95" t="s">
        <v>104</v>
      </c>
      <c r="Q95">
        <v>2024</v>
      </c>
      <c r="R95" s="4">
        <v>92246660</v>
      </c>
    </row>
    <row r="96" spans="1:18" x14ac:dyDescent="0.25">
      <c r="A96" s="1" t="str">
        <f t="shared" si="7"/>
        <v>LM</v>
      </c>
      <c r="B96" t="s">
        <v>78</v>
      </c>
      <c r="C96">
        <v>42.46</v>
      </c>
      <c r="D96">
        <v>12.395200000000001</v>
      </c>
      <c r="E96" t="s">
        <v>69</v>
      </c>
      <c r="F96" s="2" t="s">
        <v>101</v>
      </c>
      <c r="G96">
        <v>6</v>
      </c>
      <c r="H96">
        <v>1</v>
      </c>
      <c r="I96" t="s">
        <v>13</v>
      </c>
      <c r="J96">
        <v>3.3969999999999998</v>
      </c>
      <c r="K96">
        <v>0.85589999999999999</v>
      </c>
      <c r="L96">
        <v>0.44900000000000001</v>
      </c>
      <c r="M96">
        <v>0.76759999999999995</v>
      </c>
      <c r="N96">
        <f t="shared" si="8"/>
        <v>0.47540600537445959</v>
      </c>
      <c r="O96">
        <f t="shared" si="9"/>
        <v>1.2771500313873196</v>
      </c>
      <c r="P96" t="s">
        <v>104</v>
      </c>
      <c r="Q96">
        <v>2024</v>
      </c>
      <c r="R96" s="4">
        <v>92246658</v>
      </c>
    </row>
    <row r="97" spans="1:18" x14ac:dyDescent="0.25">
      <c r="A97" s="1" t="str">
        <f t="shared" si="7"/>
        <v>LM</v>
      </c>
      <c r="B97" t="s">
        <v>78</v>
      </c>
      <c r="C97">
        <v>42.46</v>
      </c>
      <c r="D97">
        <v>12.395200000000001</v>
      </c>
      <c r="E97" t="s">
        <v>69</v>
      </c>
      <c r="F97" s="2" t="s">
        <v>101</v>
      </c>
      <c r="G97">
        <v>6</v>
      </c>
      <c r="H97">
        <v>1</v>
      </c>
      <c r="I97" t="s">
        <v>14</v>
      </c>
      <c r="J97">
        <v>3.093</v>
      </c>
      <c r="K97">
        <v>3.6099000000000001</v>
      </c>
      <c r="L97">
        <v>1.9065000000000001</v>
      </c>
      <c r="M97">
        <v>3.5354999999999999</v>
      </c>
      <c r="N97">
        <f t="shared" si="8"/>
        <v>0.47186902684284882</v>
      </c>
      <c r="O97">
        <f t="shared" si="9"/>
        <v>1.0456721915285452</v>
      </c>
      <c r="P97" t="s">
        <v>104</v>
      </c>
      <c r="Q97">
        <v>2024</v>
      </c>
      <c r="R97" s="4">
        <v>92246658</v>
      </c>
    </row>
    <row r="98" spans="1:18" x14ac:dyDescent="0.25">
      <c r="A98" s="1" t="str">
        <f t="shared" ref="A98:A129" si="10">LEFT(B98,FIND("-",B98)-1)</f>
        <v>LM</v>
      </c>
      <c r="B98" t="s">
        <v>67</v>
      </c>
      <c r="C98">
        <v>33.93</v>
      </c>
      <c r="D98">
        <v>7.7977999999999996</v>
      </c>
      <c r="E98" s="1" t="s">
        <v>107</v>
      </c>
      <c r="F98" s="2" t="s">
        <v>100</v>
      </c>
      <c r="G98">
        <v>6</v>
      </c>
      <c r="H98">
        <v>1</v>
      </c>
      <c r="I98" t="s">
        <v>13</v>
      </c>
      <c r="J98">
        <v>2.6669999999999998</v>
      </c>
      <c r="K98">
        <v>29.3065</v>
      </c>
      <c r="L98">
        <v>14.5509</v>
      </c>
      <c r="M98">
        <v>29.486799999999999</v>
      </c>
      <c r="N98">
        <f t="shared" si="8"/>
        <v>0.50349239929708423</v>
      </c>
      <c r="O98">
        <f t="shared" si="9"/>
        <v>0.98792841408954268</v>
      </c>
      <c r="P98" t="s">
        <v>104</v>
      </c>
      <c r="Q98">
        <v>2024</v>
      </c>
      <c r="R98" s="4">
        <v>92246659</v>
      </c>
    </row>
    <row r="99" spans="1:18" x14ac:dyDescent="0.25">
      <c r="A99" s="1" t="str">
        <f t="shared" si="10"/>
        <v>LM</v>
      </c>
      <c r="B99" t="s">
        <v>67</v>
      </c>
      <c r="C99">
        <v>33.93</v>
      </c>
      <c r="D99">
        <v>7.7977999999999996</v>
      </c>
      <c r="E99" s="1" t="s">
        <v>107</v>
      </c>
      <c r="F99" s="2" t="s">
        <v>100</v>
      </c>
      <c r="G99">
        <v>6</v>
      </c>
      <c r="H99">
        <v>1</v>
      </c>
      <c r="I99" t="s">
        <v>14</v>
      </c>
      <c r="J99">
        <v>2.698</v>
      </c>
      <c r="K99">
        <v>13.391299999999999</v>
      </c>
      <c r="L99">
        <v>6.7446999999999999</v>
      </c>
      <c r="M99">
        <v>13.646599999999999</v>
      </c>
      <c r="N99">
        <f t="shared" si="8"/>
        <v>0.49633717413544615</v>
      </c>
      <c r="O99">
        <f t="shared" si="9"/>
        <v>0.96301018560106633</v>
      </c>
      <c r="P99" t="s">
        <v>104</v>
      </c>
      <c r="Q99">
        <v>2024</v>
      </c>
      <c r="R99" s="4">
        <v>92246659</v>
      </c>
    </row>
    <row r="100" spans="1:18" x14ac:dyDescent="0.25">
      <c r="A100" s="1" t="str">
        <f t="shared" si="10"/>
        <v>LM</v>
      </c>
      <c r="B100" t="s">
        <v>68</v>
      </c>
      <c r="C100">
        <v>30.14</v>
      </c>
      <c r="D100">
        <v>6.7564000000000002</v>
      </c>
      <c r="E100" t="s">
        <v>69</v>
      </c>
      <c r="F100" s="2" t="s">
        <v>101</v>
      </c>
      <c r="G100">
        <v>2</v>
      </c>
      <c r="H100">
        <v>1</v>
      </c>
      <c r="I100" t="s">
        <v>13</v>
      </c>
      <c r="J100">
        <v>4.5</v>
      </c>
      <c r="K100">
        <v>0.70179999999999998</v>
      </c>
      <c r="L100">
        <v>0.4078</v>
      </c>
      <c r="M100">
        <v>0.65629999999999999</v>
      </c>
      <c r="N100">
        <f t="shared" si="8"/>
        <v>0.41892277001994871</v>
      </c>
      <c r="O100">
        <f t="shared" si="9"/>
        <v>1.1830985915492958</v>
      </c>
      <c r="P100" t="s">
        <v>104</v>
      </c>
      <c r="Q100">
        <v>2024</v>
      </c>
      <c r="R100" s="4">
        <v>92246657</v>
      </c>
    </row>
    <row r="101" spans="1:18" x14ac:dyDescent="0.25">
      <c r="A101" s="1" t="str">
        <f t="shared" si="10"/>
        <v>LM</v>
      </c>
      <c r="B101" t="s">
        <v>68</v>
      </c>
      <c r="C101">
        <v>30.14</v>
      </c>
      <c r="D101">
        <v>6.7564000000000002</v>
      </c>
      <c r="E101" t="s">
        <v>69</v>
      </c>
      <c r="F101" s="2" t="s">
        <v>101</v>
      </c>
      <c r="G101">
        <v>2</v>
      </c>
      <c r="H101">
        <v>1</v>
      </c>
      <c r="I101" t="s">
        <v>14</v>
      </c>
      <c r="J101">
        <v>4.6840000000000002</v>
      </c>
      <c r="K101">
        <v>2.1135999999999999</v>
      </c>
      <c r="L101">
        <v>1.2992999999999999</v>
      </c>
      <c r="M101">
        <v>2.1135999999999999</v>
      </c>
      <c r="N101">
        <f t="shared" si="8"/>
        <v>0.3852668433005299</v>
      </c>
      <c r="O101">
        <f>(K101-L101)/(M101-L101)</f>
        <v>1</v>
      </c>
      <c r="P101" t="s">
        <v>104</v>
      </c>
      <c r="Q101">
        <v>2024</v>
      </c>
      <c r="R101" s="4">
        <v>92246657</v>
      </c>
    </row>
    <row r="102" spans="1:18" x14ac:dyDescent="0.25">
      <c r="A102" s="1" t="str">
        <f t="shared" si="10"/>
        <v>LM</v>
      </c>
      <c r="B102" t="s">
        <v>70</v>
      </c>
      <c r="C102">
        <v>48.06</v>
      </c>
      <c r="D102">
        <v>10.1092</v>
      </c>
      <c r="E102" s="1" t="s">
        <v>107</v>
      </c>
      <c r="F102" s="2" t="s">
        <v>100</v>
      </c>
      <c r="G102">
        <v>4</v>
      </c>
      <c r="H102">
        <v>1</v>
      </c>
      <c r="I102" t="s">
        <v>13</v>
      </c>
      <c r="J102">
        <v>3.3940000000000001</v>
      </c>
      <c r="K102">
        <v>4.6913999999999998</v>
      </c>
      <c r="L102">
        <v>2.6358000000000001</v>
      </c>
      <c r="M102">
        <v>5.3028000000000004</v>
      </c>
      <c r="N102">
        <f t="shared" si="8"/>
        <v>0.43816344801125456</v>
      </c>
      <c r="O102">
        <f t="shared" si="9"/>
        <v>0.77075365579302568</v>
      </c>
      <c r="P102" t="s">
        <v>104</v>
      </c>
      <c r="Q102">
        <v>2024</v>
      </c>
      <c r="R102" s="4">
        <v>92246656</v>
      </c>
    </row>
    <row r="103" spans="1:18" x14ac:dyDescent="0.25">
      <c r="A103" s="1" t="str">
        <f t="shared" si="10"/>
        <v>LM</v>
      </c>
      <c r="B103" t="s">
        <v>70</v>
      </c>
      <c r="C103">
        <v>48.06</v>
      </c>
      <c r="D103">
        <v>10.1092</v>
      </c>
      <c r="E103" s="1" t="s">
        <v>107</v>
      </c>
      <c r="F103" s="2" t="s">
        <v>100</v>
      </c>
      <c r="G103">
        <v>4</v>
      </c>
      <c r="H103">
        <v>1</v>
      </c>
      <c r="I103" t="s">
        <v>14</v>
      </c>
      <c r="J103">
        <v>2.34</v>
      </c>
      <c r="K103">
        <v>6.3419999999999996</v>
      </c>
      <c r="L103">
        <v>3.1017999999999999</v>
      </c>
      <c r="M103">
        <v>6.9401000000000002</v>
      </c>
      <c r="N103">
        <f t="shared" si="8"/>
        <v>0.51091138442131823</v>
      </c>
      <c r="O103">
        <f t="shared" si="9"/>
        <v>0.84417580699788952</v>
      </c>
      <c r="P103" t="s">
        <v>104</v>
      </c>
      <c r="Q103">
        <v>2024</v>
      </c>
      <c r="R103" s="4">
        <v>92246656</v>
      </c>
    </row>
    <row r="104" spans="1:18" x14ac:dyDescent="0.25">
      <c r="A104" s="1" t="str">
        <f t="shared" si="10"/>
        <v>ML</v>
      </c>
      <c r="B104" t="s">
        <v>71</v>
      </c>
      <c r="C104">
        <v>64.680000000000007</v>
      </c>
      <c r="D104">
        <v>19.303999999999998</v>
      </c>
      <c r="E104" t="s">
        <v>19</v>
      </c>
      <c r="F104" s="2" t="s">
        <v>92</v>
      </c>
      <c r="G104">
        <v>6</v>
      </c>
      <c r="H104">
        <v>1</v>
      </c>
      <c r="I104" t="s">
        <v>13</v>
      </c>
      <c r="J104">
        <v>1.66</v>
      </c>
      <c r="K104" t="s">
        <v>33</v>
      </c>
      <c r="L104">
        <v>2.8639999999999999</v>
      </c>
      <c r="M104" t="s">
        <v>33</v>
      </c>
      <c r="N104" t="s">
        <v>33</v>
      </c>
      <c r="O104" t="s">
        <v>33</v>
      </c>
      <c r="P104" t="s">
        <v>104</v>
      </c>
      <c r="Q104">
        <v>2024</v>
      </c>
      <c r="R104" s="4">
        <v>92246683</v>
      </c>
    </row>
    <row r="105" spans="1:18" x14ac:dyDescent="0.25">
      <c r="A105" s="1" t="str">
        <f t="shared" si="10"/>
        <v>ML</v>
      </c>
      <c r="B105" t="s">
        <v>71</v>
      </c>
      <c r="C105">
        <v>64.680000000000007</v>
      </c>
      <c r="D105">
        <v>19.303999999999998</v>
      </c>
      <c r="E105" t="s">
        <v>19</v>
      </c>
      <c r="F105" s="2" t="s">
        <v>92</v>
      </c>
      <c r="G105">
        <v>6</v>
      </c>
      <c r="H105">
        <v>1</v>
      </c>
      <c r="I105" t="s">
        <v>14</v>
      </c>
      <c r="J105">
        <v>1.8939999999999999</v>
      </c>
      <c r="K105" t="s">
        <v>33</v>
      </c>
      <c r="L105">
        <v>4.76</v>
      </c>
      <c r="M105" t="s">
        <v>33</v>
      </c>
      <c r="N105" t="s">
        <v>33</v>
      </c>
      <c r="O105" t="s">
        <v>33</v>
      </c>
      <c r="P105" t="s">
        <v>104</v>
      </c>
      <c r="Q105">
        <v>2024</v>
      </c>
      <c r="R105" s="4">
        <v>92246683</v>
      </c>
    </row>
    <row r="106" spans="1:18" x14ac:dyDescent="0.25">
      <c r="A106" s="1" t="str">
        <f t="shared" si="10"/>
        <v>ML</v>
      </c>
      <c r="B106" t="s">
        <v>72</v>
      </c>
      <c r="C106">
        <v>43.45</v>
      </c>
      <c r="D106">
        <v>12.9794</v>
      </c>
      <c r="E106" t="s">
        <v>19</v>
      </c>
      <c r="F106" s="2" t="s">
        <v>92</v>
      </c>
      <c r="G106">
        <v>3</v>
      </c>
      <c r="H106">
        <v>1</v>
      </c>
      <c r="I106" t="s">
        <v>13</v>
      </c>
      <c r="J106">
        <v>1.895</v>
      </c>
      <c r="K106">
        <v>3.05</v>
      </c>
      <c r="L106">
        <v>1.5621</v>
      </c>
      <c r="M106" t="s">
        <v>33</v>
      </c>
      <c r="N106">
        <f t="shared" ref="N106:N135" si="11">(K106-L106)/K106</f>
        <v>0.48783606557377046</v>
      </c>
      <c r="O106" t="s">
        <v>33</v>
      </c>
      <c r="P106" t="s">
        <v>104</v>
      </c>
      <c r="Q106">
        <v>2024</v>
      </c>
      <c r="R106" s="4">
        <v>99246685</v>
      </c>
    </row>
    <row r="107" spans="1:18" x14ac:dyDescent="0.25">
      <c r="A107" s="1" t="str">
        <f t="shared" si="10"/>
        <v>ML</v>
      </c>
      <c r="B107" t="s">
        <v>72</v>
      </c>
      <c r="C107">
        <v>43.45</v>
      </c>
      <c r="D107">
        <v>12.9794</v>
      </c>
      <c r="E107" t="s">
        <v>19</v>
      </c>
      <c r="F107" s="2" t="s">
        <v>92</v>
      </c>
      <c r="G107">
        <v>3</v>
      </c>
      <c r="H107">
        <v>1</v>
      </c>
      <c r="I107" t="s">
        <v>14</v>
      </c>
      <c r="J107">
        <v>1.8180000000000001</v>
      </c>
      <c r="K107">
        <v>6.08</v>
      </c>
      <c r="L107">
        <v>2.0832000000000002</v>
      </c>
      <c r="M107" t="s">
        <v>33</v>
      </c>
      <c r="N107">
        <f t="shared" si="11"/>
        <v>0.6573684210526316</v>
      </c>
      <c r="O107" t="s">
        <v>33</v>
      </c>
      <c r="P107" t="s">
        <v>104</v>
      </c>
      <c r="Q107">
        <v>2024</v>
      </c>
      <c r="R107" s="4">
        <v>99246685</v>
      </c>
    </row>
    <row r="108" spans="1:18" x14ac:dyDescent="0.25">
      <c r="A108" s="1" t="str">
        <f t="shared" si="10"/>
        <v>ML</v>
      </c>
      <c r="B108" t="s">
        <v>73</v>
      </c>
      <c r="C108">
        <v>45.8</v>
      </c>
      <c r="D108">
        <v>9.4488000000000003</v>
      </c>
      <c r="E108" t="s">
        <v>69</v>
      </c>
      <c r="F108" s="2" t="s">
        <v>101</v>
      </c>
      <c r="G108">
        <v>8</v>
      </c>
      <c r="H108">
        <v>1</v>
      </c>
      <c r="I108" t="s">
        <v>13</v>
      </c>
      <c r="J108">
        <v>2.7519999999999998</v>
      </c>
      <c r="K108">
        <v>4.95</v>
      </c>
      <c r="L108">
        <v>2.4900000000000002</v>
      </c>
      <c r="M108" t="s">
        <v>33</v>
      </c>
      <c r="N108">
        <f t="shared" si="11"/>
        <v>0.49696969696969695</v>
      </c>
      <c r="O108" t="s">
        <v>33</v>
      </c>
      <c r="P108" t="s">
        <v>104</v>
      </c>
      <c r="Q108">
        <v>2024</v>
      </c>
      <c r="R108" s="4">
        <v>92246684</v>
      </c>
    </row>
    <row r="109" spans="1:18" x14ac:dyDescent="0.25">
      <c r="A109" s="1" t="str">
        <f t="shared" si="10"/>
        <v>ML</v>
      </c>
      <c r="B109" t="s">
        <v>73</v>
      </c>
      <c r="C109">
        <v>45.8</v>
      </c>
      <c r="D109">
        <v>9.4488000000000003</v>
      </c>
      <c r="E109" t="s">
        <v>69</v>
      </c>
      <c r="F109" s="2" t="s">
        <v>101</v>
      </c>
      <c r="G109">
        <v>8</v>
      </c>
      <c r="H109">
        <v>1</v>
      </c>
      <c r="I109" t="s">
        <v>14</v>
      </c>
      <c r="J109">
        <v>2.573</v>
      </c>
      <c r="K109">
        <v>2.95</v>
      </c>
      <c r="L109">
        <v>1.4469000000000001</v>
      </c>
      <c r="M109" t="s">
        <v>33</v>
      </c>
      <c r="N109">
        <f t="shared" si="11"/>
        <v>0.5095254237288136</v>
      </c>
      <c r="O109" t="s">
        <v>33</v>
      </c>
      <c r="P109" t="s">
        <v>104</v>
      </c>
      <c r="Q109">
        <v>2024</v>
      </c>
      <c r="R109" s="4">
        <v>92246684</v>
      </c>
    </row>
    <row r="110" spans="1:18" x14ac:dyDescent="0.25">
      <c r="A110" s="1" t="str">
        <f t="shared" si="10"/>
        <v>ML</v>
      </c>
      <c r="B110" t="s">
        <v>74</v>
      </c>
      <c r="C110">
        <v>28.3</v>
      </c>
      <c r="D110">
        <v>10.16</v>
      </c>
      <c r="E110" t="s">
        <v>69</v>
      </c>
      <c r="F110" s="2" t="s">
        <v>101</v>
      </c>
      <c r="G110">
        <v>9</v>
      </c>
      <c r="H110">
        <v>1</v>
      </c>
      <c r="I110" t="s">
        <v>13</v>
      </c>
      <c r="J110">
        <v>2.67</v>
      </c>
      <c r="K110">
        <v>1.24</v>
      </c>
      <c r="L110">
        <v>0.62</v>
      </c>
      <c r="M110" t="s">
        <v>33</v>
      </c>
      <c r="N110">
        <f t="shared" si="11"/>
        <v>0.5</v>
      </c>
      <c r="O110" t="s">
        <v>33</v>
      </c>
      <c r="P110" t="s">
        <v>104</v>
      </c>
      <c r="Q110">
        <v>2024</v>
      </c>
      <c r="R110" s="4">
        <v>92246664</v>
      </c>
    </row>
    <row r="111" spans="1:18" x14ac:dyDescent="0.25">
      <c r="A111" s="1" t="str">
        <f t="shared" si="10"/>
        <v>ML</v>
      </c>
      <c r="B111" t="s">
        <v>74</v>
      </c>
      <c r="C111">
        <v>28.3</v>
      </c>
      <c r="D111">
        <v>10.16</v>
      </c>
      <c r="E111" t="s">
        <v>69</v>
      </c>
      <c r="F111" s="2" t="s">
        <v>101</v>
      </c>
      <c r="G111">
        <v>9</v>
      </c>
      <c r="H111">
        <v>1</v>
      </c>
      <c r="I111" t="s">
        <v>14</v>
      </c>
      <c r="J111">
        <v>2.84</v>
      </c>
      <c r="K111">
        <v>2.37</v>
      </c>
      <c r="L111">
        <v>1.1167</v>
      </c>
      <c r="M111" t="s">
        <v>33</v>
      </c>
      <c r="N111">
        <f t="shared" si="11"/>
        <v>0.52881856540084393</v>
      </c>
      <c r="O111" t="s">
        <v>33</v>
      </c>
      <c r="P111" t="s">
        <v>104</v>
      </c>
      <c r="Q111">
        <v>2024</v>
      </c>
      <c r="R111" s="4">
        <v>92246664</v>
      </c>
    </row>
    <row r="112" spans="1:18" x14ac:dyDescent="0.25">
      <c r="A112" s="1" t="str">
        <f t="shared" si="10"/>
        <v>ML</v>
      </c>
      <c r="B112" t="s">
        <v>75</v>
      </c>
      <c r="C112">
        <v>45.55</v>
      </c>
      <c r="D112">
        <v>20.650200000000002</v>
      </c>
      <c r="E112" t="s">
        <v>25</v>
      </c>
      <c r="F112" s="2" t="s">
        <v>95</v>
      </c>
      <c r="G112">
        <v>2</v>
      </c>
      <c r="H112">
        <v>1</v>
      </c>
      <c r="I112" t="s">
        <v>13</v>
      </c>
      <c r="J112" t="s">
        <v>33</v>
      </c>
      <c r="K112" t="s">
        <v>33</v>
      </c>
      <c r="L112" t="s">
        <v>33</v>
      </c>
      <c r="M112" t="s">
        <v>33</v>
      </c>
      <c r="N112" t="s">
        <v>33</v>
      </c>
      <c r="O112" t="s">
        <v>33</v>
      </c>
      <c r="P112" t="s">
        <v>104</v>
      </c>
      <c r="Q112">
        <v>2024</v>
      </c>
      <c r="R112" s="4">
        <v>92246661</v>
      </c>
    </row>
    <row r="113" spans="1:18" x14ac:dyDescent="0.25">
      <c r="A113" s="1" t="str">
        <f t="shared" si="10"/>
        <v>ML</v>
      </c>
      <c r="B113" t="s">
        <v>75</v>
      </c>
      <c r="C113">
        <v>45.55</v>
      </c>
      <c r="D113">
        <v>20.650200000000002</v>
      </c>
      <c r="E113" t="s">
        <v>25</v>
      </c>
      <c r="F113" s="2" t="s">
        <v>95</v>
      </c>
      <c r="G113">
        <v>2</v>
      </c>
      <c r="H113">
        <v>1</v>
      </c>
      <c r="I113" t="s">
        <v>14</v>
      </c>
      <c r="J113" t="s">
        <v>33</v>
      </c>
      <c r="K113" t="s">
        <v>33</v>
      </c>
      <c r="L113" t="s">
        <v>33</v>
      </c>
      <c r="M113" t="s">
        <v>33</v>
      </c>
      <c r="N113" t="s">
        <v>33</v>
      </c>
      <c r="O113" t="s">
        <v>33</v>
      </c>
      <c r="P113" t="s">
        <v>104</v>
      </c>
      <c r="Q113">
        <v>2024</v>
      </c>
      <c r="R113" s="4">
        <v>92246661</v>
      </c>
    </row>
    <row r="114" spans="1:18" x14ac:dyDescent="0.25">
      <c r="A114" s="1" t="str">
        <f t="shared" si="10"/>
        <v>ML</v>
      </c>
      <c r="B114" t="s">
        <v>76</v>
      </c>
      <c r="C114">
        <v>28.71</v>
      </c>
      <c r="D114">
        <v>9.6774000000000004</v>
      </c>
      <c r="E114" t="s">
        <v>25</v>
      </c>
      <c r="F114" s="2" t="s">
        <v>95</v>
      </c>
      <c r="G114">
        <v>6</v>
      </c>
      <c r="H114">
        <v>1</v>
      </c>
      <c r="I114" t="s">
        <v>13</v>
      </c>
      <c r="J114">
        <v>2.9710000000000001</v>
      </c>
      <c r="K114">
        <v>0.46800000000000003</v>
      </c>
      <c r="L114">
        <v>0.27139999999999997</v>
      </c>
      <c r="M114">
        <v>0.50960000000000005</v>
      </c>
      <c r="N114">
        <f t="shared" si="11"/>
        <v>0.42008547008547015</v>
      </c>
      <c r="O114">
        <f t="shared" ref="O114:O135" si="12">(K114-L114)/(M114-L114)</f>
        <v>0.82535684298908474</v>
      </c>
      <c r="P114" t="s">
        <v>104</v>
      </c>
      <c r="Q114">
        <v>2024</v>
      </c>
      <c r="R114" s="4">
        <v>92246687</v>
      </c>
    </row>
    <row r="115" spans="1:18" x14ac:dyDescent="0.25">
      <c r="A115" s="1" t="str">
        <f t="shared" si="10"/>
        <v>ML</v>
      </c>
      <c r="B115" t="s">
        <v>76</v>
      </c>
      <c r="C115">
        <v>28.71</v>
      </c>
      <c r="D115">
        <v>9.6774000000000004</v>
      </c>
      <c r="E115" t="s">
        <v>25</v>
      </c>
      <c r="F115" s="2" t="s">
        <v>95</v>
      </c>
      <c r="G115">
        <v>6</v>
      </c>
      <c r="H115">
        <v>1</v>
      </c>
      <c r="I115" t="s">
        <v>14</v>
      </c>
      <c r="J115">
        <v>3.0489999999999999</v>
      </c>
      <c r="K115">
        <v>0.62290000000000001</v>
      </c>
      <c r="L115">
        <v>0.34300000000000003</v>
      </c>
      <c r="M115">
        <v>0.64390000000000003</v>
      </c>
      <c r="N115">
        <f t="shared" si="11"/>
        <v>0.44934981537967567</v>
      </c>
      <c r="O115">
        <f t="shared" si="12"/>
        <v>0.93020937188434694</v>
      </c>
      <c r="P115" t="s">
        <v>104</v>
      </c>
      <c r="Q115">
        <v>2024</v>
      </c>
      <c r="R115" s="4">
        <v>92246687</v>
      </c>
    </row>
    <row r="116" spans="1:18" x14ac:dyDescent="0.25">
      <c r="A116" s="1" t="str">
        <f t="shared" si="10"/>
        <v>ML</v>
      </c>
      <c r="B116" t="s">
        <v>77</v>
      </c>
      <c r="C116">
        <v>33.520000000000003</v>
      </c>
      <c r="D116">
        <v>8.9407999999999994</v>
      </c>
      <c r="E116" t="s">
        <v>25</v>
      </c>
      <c r="F116" s="2" t="s">
        <v>95</v>
      </c>
      <c r="G116">
        <v>9</v>
      </c>
      <c r="H116">
        <v>1</v>
      </c>
      <c r="I116" t="s">
        <v>13</v>
      </c>
      <c r="J116">
        <v>2.4929999999999999</v>
      </c>
      <c r="K116">
        <v>0.57769999999999999</v>
      </c>
      <c r="L116">
        <v>0.3226</v>
      </c>
      <c r="M116">
        <v>0.59299999999999997</v>
      </c>
      <c r="N116">
        <f t="shared" si="11"/>
        <v>0.44157867405227624</v>
      </c>
      <c r="O116">
        <f t="shared" si="12"/>
        <v>0.94341715976331364</v>
      </c>
      <c r="P116" t="s">
        <v>104</v>
      </c>
      <c r="Q116">
        <v>2024</v>
      </c>
      <c r="R116" s="4">
        <v>92246686</v>
      </c>
    </row>
    <row r="117" spans="1:18" x14ac:dyDescent="0.25">
      <c r="A117" s="1" t="str">
        <f t="shared" si="10"/>
        <v>ML</v>
      </c>
      <c r="B117" t="s">
        <v>77</v>
      </c>
      <c r="C117">
        <v>33.520000000000003</v>
      </c>
      <c r="D117">
        <v>8.9407999999999994</v>
      </c>
      <c r="E117" t="s">
        <v>25</v>
      </c>
      <c r="F117" s="2" t="s">
        <v>95</v>
      </c>
      <c r="G117">
        <v>9</v>
      </c>
      <c r="H117">
        <v>1</v>
      </c>
      <c r="I117" t="s">
        <v>14</v>
      </c>
      <c r="J117">
        <v>2.5790000000000002</v>
      </c>
      <c r="K117">
        <v>0.89590000000000003</v>
      </c>
      <c r="L117">
        <v>0.49249999999999999</v>
      </c>
      <c r="M117">
        <v>0.98329999999999995</v>
      </c>
      <c r="N117">
        <f t="shared" si="11"/>
        <v>0.4502734680209845</v>
      </c>
      <c r="O117">
        <f t="shared" si="12"/>
        <v>0.82192339038304818</v>
      </c>
      <c r="P117" t="s">
        <v>104</v>
      </c>
      <c r="Q117">
        <v>2024</v>
      </c>
      <c r="R117" s="4">
        <v>92246686</v>
      </c>
    </row>
    <row r="118" spans="1:18" x14ac:dyDescent="0.25">
      <c r="A118" s="1" t="str">
        <f t="shared" si="10"/>
        <v>ML</v>
      </c>
      <c r="B118" t="s">
        <v>79</v>
      </c>
      <c r="C118">
        <v>65.95</v>
      </c>
      <c r="D118">
        <v>16.687799999999999</v>
      </c>
      <c r="E118" t="s">
        <v>25</v>
      </c>
      <c r="F118" s="2" t="s">
        <v>95</v>
      </c>
      <c r="G118">
        <v>0</v>
      </c>
      <c r="H118">
        <v>1</v>
      </c>
      <c r="I118" t="s">
        <v>13</v>
      </c>
      <c r="J118" t="s">
        <v>33</v>
      </c>
      <c r="K118">
        <v>0.42130000000000001</v>
      </c>
      <c r="L118">
        <v>0.40510000000000002</v>
      </c>
      <c r="M118">
        <v>0.44619999999999999</v>
      </c>
      <c r="N118">
        <f t="shared" si="11"/>
        <v>3.8452409209589346E-2</v>
      </c>
      <c r="O118">
        <f t="shared" si="12"/>
        <v>0.39416058394160591</v>
      </c>
      <c r="P118" t="s">
        <v>104</v>
      </c>
      <c r="Q118">
        <v>2024</v>
      </c>
      <c r="R118" s="4">
        <v>92246665</v>
      </c>
    </row>
    <row r="119" spans="1:18" x14ac:dyDescent="0.25">
      <c r="A119" s="1" t="str">
        <f t="shared" si="10"/>
        <v>ML</v>
      </c>
      <c r="B119" t="s">
        <v>79</v>
      </c>
      <c r="C119">
        <v>65.95</v>
      </c>
      <c r="D119">
        <v>16.687799999999999</v>
      </c>
      <c r="E119" t="s">
        <v>25</v>
      </c>
      <c r="F119" s="2" t="s">
        <v>95</v>
      </c>
      <c r="G119">
        <v>0</v>
      </c>
      <c r="H119">
        <v>1</v>
      </c>
      <c r="I119" t="s">
        <v>14</v>
      </c>
      <c r="J119" t="s">
        <v>33</v>
      </c>
      <c r="K119">
        <v>0.28499999999999998</v>
      </c>
      <c r="L119">
        <v>0.27260000000000001</v>
      </c>
      <c r="M119">
        <v>0.35539999999999999</v>
      </c>
      <c r="N119">
        <f t="shared" si="11"/>
        <v>4.3508771929824448E-2</v>
      </c>
      <c r="O119">
        <f t="shared" si="12"/>
        <v>0.14975845410627983</v>
      </c>
      <c r="P119" t="s">
        <v>104</v>
      </c>
      <c r="Q119">
        <v>2024</v>
      </c>
      <c r="R119" s="4">
        <v>92246665</v>
      </c>
    </row>
    <row r="120" spans="1:18" x14ac:dyDescent="0.25">
      <c r="A120" s="1" t="str">
        <f t="shared" si="10"/>
        <v>SB</v>
      </c>
      <c r="B120" t="s">
        <v>80</v>
      </c>
      <c r="C120">
        <v>79.930000000000007</v>
      </c>
      <c r="D120">
        <v>37.83</v>
      </c>
      <c r="E120" t="s">
        <v>19</v>
      </c>
      <c r="F120" s="2" t="s">
        <v>92</v>
      </c>
      <c r="G120">
        <v>5</v>
      </c>
      <c r="H120">
        <v>1</v>
      </c>
      <c r="I120" t="s">
        <v>13</v>
      </c>
      <c r="J120">
        <v>2.3919999999999999</v>
      </c>
      <c r="K120">
        <v>2.8643000000000001</v>
      </c>
      <c r="L120">
        <v>1.1737</v>
      </c>
      <c r="M120">
        <v>3.1558000000000002</v>
      </c>
      <c r="N120">
        <f t="shared" si="11"/>
        <v>0.5902314701672311</v>
      </c>
      <c r="O120">
        <f t="shared" si="12"/>
        <v>0.85293375712628017</v>
      </c>
      <c r="P120" t="s">
        <v>104</v>
      </c>
      <c r="Q120">
        <v>2024</v>
      </c>
      <c r="R120" s="4">
        <v>92246670</v>
      </c>
    </row>
    <row r="121" spans="1:18" x14ac:dyDescent="0.25">
      <c r="A121" s="1" t="str">
        <f t="shared" si="10"/>
        <v>SB</v>
      </c>
      <c r="B121" t="s">
        <v>80</v>
      </c>
      <c r="C121">
        <v>79.930000000000007</v>
      </c>
      <c r="D121">
        <v>37.83</v>
      </c>
      <c r="E121" t="s">
        <v>19</v>
      </c>
      <c r="F121" s="2" t="s">
        <v>92</v>
      </c>
      <c r="G121">
        <v>5</v>
      </c>
      <c r="H121">
        <v>1</v>
      </c>
      <c r="I121" t="s">
        <v>14</v>
      </c>
      <c r="J121">
        <v>1.9159999999999999</v>
      </c>
      <c r="K121">
        <v>9.2954000000000008</v>
      </c>
      <c r="L121">
        <v>3.6696</v>
      </c>
      <c r="M121">
        <v>10.874599999999999</v>
      </c>
      <c r="N121">
        <f t="shared" si="11"/>
        <v>0.60522408933450955</v>
      </c>
      <c r="O121">
        <f t="shared" si="12"/>
        <v>0.78081887578070808</v>
      </c>
      <c r="P121" t="s">
        <v>104</v>
      </c>
      <c r="Q121">
        <v>2024</v>
      </c>
      <c r="R121" s="4">
        <v>92246670</v>
      </c>
    </row>
    <row r="122" spans="1:18" x14ac:dyDescent="0.25">
      <c r="A122" s="1" t="str">
        <f t="shared" si="10"/>
        <v>SB</v>
      </c>
      <c r="B122" t="s">
        <v>81</v>
      </c>
      <c r="C122">
        <v>98.93</v>
      </c>
      <c r="D122">
        <v>39.880000000000003</v>
      </c>
      <c r="E122" t="s">
        <v>19</v>
      </c>
      <c r="F122" s="2" t="s">
        <v>92</v>
      </c>
      <c r="G122">
        <v>10</v>
      </c>
      <c r="H122">
        <v>1</v>
      </c>
      <c r="I122" t="s">
        <v>13</v>
      </c>
      <c r="J122">
        <v>1.8939999999999999</v>
      </c>
      <c r="K122">
        <v>8.6811000000000007</v>
      </c>
      <c r="L122">
        <v>3.5285000000000002</v>
      </c>
      <c r="M122">
        <v>9.8114000000000008</v>
      </c>
      <c r="N122">
        <f t="shared" si="11"/>
        <v>0.59354229302738137</v>
      </c>
      <c r="O122">
        <f t="shared" si="12"/>
        <v>0.82009899886994864</v>
      </c>
      <c r="P122" t="s">
        <v>104</v>
      </c>
      <c r="Q122">
        <v>2024</v>
      </c>
      <c r="R122" s="4">
        <v>92246669</v>
      </c>
    </row>
    <row r="123" spans="1:18" x14ac:dyDescent="0.25">
      <c r="A123" s="1" t="str">
        <f t="shared" si="10"/>
        <v>SB</v>
      </c>
      <c r="B123" t="s">
        <v>81</v>
      </c>
      <c r="C123">
        <v>98.93</v>
      </c>
      <c r="D123">
        <v>39.880000000000003</v>
      </c>
      <c r="E123" t="s">
        <v>19</v>
      </c>
      <c r="F123" s="2" t="s">
        <v>92</v>
      </c>
      <c r="G123">
        <v>10</v>
      </c>
      <c r="H123">
        <v>1</v>
      </c>
      <c r="I123" t="s">
        <v>14</v>
      </c>
      <c r="J123">
        <v>2.375</v>
      </c>
      <c r="K123">
        <v>2.8498999999999999</v>
      </c>
      <c r="L123">
        <v>1.365</v>
      </c>
      <c r="M123">
        <v>3.2385000000000002</v>
      </c>
      <c r="N123">
        <f t="shared" si="11"/>
        <v>0.52103582581844976</v>
      </c>
      <c r="O123">
        <f t="shared" si="12"/>
        <v>0.79258073125166784</v>
      </c>
      <c r="P123" t="s">
        <v>104</v>
      </c>
      <c r="Q123">
        <v>2024</v>
      </c>
      <c r="R123" s="4">
        <v>92246669</v>
      </c>
    </row>
    <row r="124" spans="1:18" x14ac:dyDescent="0.25">
      <c r="A124" s="1" t="str">
        <f t="shared" si="10"/>
        <v>SB</v>
      </c>
      <c r="B124" t="s">
        <v>82</v>
      </c>
      <c r="C124">
        <v>67.739999999999995</v>
      </c>
      <c r="D124">
        <v>39.619999999999997</v>
      </c>
      <c r="E124" t="s">
        <v>19</v>
      </c>
      <c r="F124" s="2" t="s">
        <v>92</v>
      </c>
      <c r="G124">
        <v>7</v>
      </c>
      <c r="H124">
        <v>1</v>
      </c>
      <c r="I124" t="s">
        <v>13</v>
      </c>
      <c r="J124">
        <v>2.3969999999999998</v>
      </c>
      <c r="K124">
        <v>5.2232000000000003</v>
      </c>
      <c r="L124">
        <v>2.5550999999999999</v>
      </c>
      <c r="M124">
        <v>6.3345000000000002</v>
      </c>
      <c r="N124">
        <f t="shared" si="11"/>
        <v>0.5108171236023894</v>
      </c>
      <c r="O124">
        <f t="shared" si="12"/>
        <v>0.70595861777001645</v>
      </c>
      <c r="P124" t="s">
        <v>104</v>
      </c>
      <c r="Q124">
        <v>2024</v>
      </c>
      <c r="R124" s="4">
        <v>92246667</v>
      </c>
    </row>
    <row r="125" spans="1:18" x14ac:dyDescent="0.25">
      <c r="A125" s="1" t="str">
        <f t="shared" si="10"/>
        <v>SB</v>
      </c>
      <c r="B125" t="s">
        <v>82</v>
      </c>
      <c r="C125">
        <v>67.739999999999995</v>
      </c>
      <c r="D125">
        <v>39.619999999999997</v>
      </c>
      <c r="E125" t="s">
        <v>19</v>
      </c>
      <c r="F125" s="2" t="s">
        <v>92</v>
      </c>
      <c r="G125">
        <v>7</v>
      </c>
      <c r="H125">
        <v>1</v>
      </c>
      <c r="I125" t="s">
        <v>14</v>
      </c>
      <c r="J125">
        <v>2.1840000000000002</v>
      </c>
      <c r="K125">
        <v>4.6383999999999999</v>
      </c>
      <c r="L125">
        <v>2.3321000000000001</v>
      </c>
      <c r="M125">
        <v>4.8663999999999996</v>
      </c>
      <c r="N125">
        <f t="shared" si="11"/>
        <v>0.49721886857537079</v>
      </c>
      <c r="O125">
        <f t="shared" si="12"/>
        <v>0.9100343290060372</v>
      </c>
      <c r="P125" t="s">
        <v>104</v>
      </c>
      <c r="Q125">
        <v>2024</v>
      </c>
      <c r="R125" s="4">
        <v>92246667</v>
      </c>
    </row>
    <row r="126" spans="1:18" x14ac:dyDescent="0.25">
      <c r="A126" s="1" t="str">
        <f t="shared" si="10"/>
        <v>SL</v>
      </c>
      <c r="B126" t="s">
        <v>83</v>
      </c>
      <c r="C126">
        <v>28.97</v>
      </c>
      <c r="D126" t="s">
        <v>33</v>
      </c>
      <c r="E126" t="s">
        <v>19</v>
      </c>
      <c r="F126" s="2" t="s">
        <v>92</v>
      </c>
      <c r="G126">
        <v>3</v>
      </c>
      <c r="H126">
        <v>1</v>
      </c>
      <c r="I126" t="s">
        <v>13</v>
      </c>
      <c r="J126">
        <v>2.2320000000000002</v>
      </c>
      <c r="K126">
        <v>1.3104</v>
      </c>
      <c r="L126">
        <v>0.5554</v>
      </c>
      <c r="M126">
        <v>1.4815</v>
      </c>
      <c r="N126">
        <f t="shared" si="11"/>
        <v>0.57615995115995111</v>
      </c>
      <c r="O126">
        <f t="shared" si="12"/>
        <v>0.81524673361408051</v>
      </c>
      <c r="P126" t="s">
        <v>104</v>
      </c>
      <c r="Q126">
        <v>2024</v>
      </c>
      <c r="R126" s="4">
        <v>92246643</v>
      </c>
    </row>
    <row r="127" spans="1:18" x14ac:dyDescent="0.25">
      <c r="A127" s="1" t="str">
        <f t="shared" si="10"/>
        <v>SL</v>
      </c>
      <c r="B127" t="s">
        <v>83</v>
      </c>
      <c r="C127">
        <v>28.97</v>
      </c>
      <c r="D127" t="s">
        <v>33</v>
      </c>
      <c r="E127" t="s">
        <v>19</v>
      </c>
      <c r="F127" s="2" t="s">
        <v>92</v>
      </c>
      <c r="G127">
        <v>3</v>
      </c>
      <c r="H127">
        <v>1</v>
      </c>
      <c r="I127" t="s">
        <v>14</v>
      </c>
      <c r="J127">
        <v>2.2749999999999999</v>
      </c>
      <c r="K127">
        <v>2.2673000000000001</v>
      </c>
      <c r="L127">
        <v>0.95909999999999995</v>
      </c>
      <c r="M127">
        <v>2.8582000000000001</v>
      </c>
      <c r="N127">
        <f t="shared" si="11"/>
        <v>0.57698584219115256</v>
      </c>
      <c r="O127">
        <f t="shared" si="12"/>
        <v>0.68885261439629308</v>
      </c>
      <c r="P127" t="s">
        <v>104</v>
      </c>
      <c r="Q127">
        <v>2024</v>
      </c>
      <c r="R127" s="4">
        <v>92246643</v>
      </c>
    </row>
    <row r="128" spans="1:18" x14ac:dyDescent="0.25">
      <c r="A128" s="1" t="str">
        <f t="shared" si="10"/>
        <v>SL</v>
      </c>
      <c r="B128" t="s">
        <v>84</v>
      </c>
      <c r="C128">
        <v>69.040000000000006</v>
      </c>
      <c r="D128">
        <v>26.61</v>
      </c>
      <c r="E128" t="s">
        <v>17</v>
      </c>
      <c r="F128" s="2" t="s">
        <v>91</v>
      </c>
      <c r="G128">
        <v>8</v>
      </c>
      <c r="H128">
        <v>1</v>
      </c>
      <c r="I128" t="s">
        <v>13</v>
      </c>
      <c r="J128">
        <v>2.593</v>
      </c>
      <c r="K128">
        <v>4.8840000000000003</v>
      </c>
      <c r="L128">
        <v>2.2635999999999998</v>
      </c>
      <c r="M128">
        <v>5.9265999999999996</v>
      </c>
      <c r="N128">
        <f t="shared" si="11"/>
        <v>0.53652743652743662</v>
      </c>
      <c r="O128">
        <f t="shared" si="12"/>
        <v>0.71536991536991557</v>
      </c>
      <c r="P128" t="s">
        <v>104</v>
      </c>
      <c r="Q128">
        <v>2024</v>
      </c>
      <c r="R128" s="4">
        <v>92246642</v>
      </c>
    </row>
    <row r="129" spans="1:18" x14ac:dyDescent="0.25">
      <c r="A129" s="1" t="str">
        <f t="shared" si="10"/>
        <v>SL</v>
      </c>
      <c r="B129" t="s">
        <v>84</v>
      </c>
      <c r="C129">
        <v>69.040000000000006</v>
      </c>
      <c r="D129">
        <v>26.61</v>
      </c>
      <c r="E129" t="s">
        <v>17</v>
      </c>
      <c r="F129" s="2" t="s">
        <v>91</v>
      </c>
      <c r="G129">
        <v>8</v>
      </c>
      <c r="H129">
        <v>1</v>
      </c>
      <c r="I129" t="s">
        <v>14</v>
      </c>
      <c r="J129">
        <v>2.37</v>
      </c>
      <c r="K129">
        <v>4.7306999999999997</v>
      </c>
      <c r="L129">
        <v>2.1322000000000001</v>
      </c>
      <c r="M129">
        <v>4.9751000000000003</v>
      </c>
      <c r="N129">
        <f t="shared" si="11"/>
        <v>0.549284461073414</v>
      </c>
      <c r="O129">
        <f t="shared" si="12"/>
        <v>0.9140314467621089</v>
      </c>
      <c r="P129" t="s">
        <v>104</v>
      </c>
      <c r="Q129">
        <v>2024</v>
      </c>
      <c r="R129" s="4">
        <v>92246642</v>
      </c>
    </row>
    <row r="130" spans="1:18" x14ac:dyDescent="0.25">
      <c r="A130" s="1" t="str">
        <f t="shared" ref="A130:A135" si="13">LEFT(B130,FIND("-",B130)-1)</f>
        <v>TO</v>
      </c>
      <c r="B130" t="s">
        <v>85</v>
      </c>
      <c r="C130">
        <v>40.64</v>
      </c>
      <c r="D130">
        <v>8.4700000000000006</v>
      </c>
      <c r="E130" t="s">
        <v>69</v>
      </c>
      <c r="F130" s="2" t="s">
        <v>101</v>
      </c>
      <c r="G130">
        <v>8</v>
      </c>
      <c r="H130">
        <v>1</v>
      </c>
      <c r="I130" t="s">
        <v>13</v>
      </c>
      <c r="J130">
        <v>3.25</v>
      </c>
      <c r="K130">
        <v>1.3248</v>
      </c>
      <c r="L130">
        <v>0.69489999999999996</v>
      </c>
      <c r="M130">
        <v>1.4904999999999999</v>
      </c>
      <c r="N130">
        <f t="shared" si="11"/>
        <v>0.47546799516908217</v>
      </c>
      <c r="O130">
        <f t="shared" si="12"/>
        <v>0.79172951231774769</v>
      </c>
      <c r="P130" t="s">
        <v>104</v>
      </c>
      <c r="Q130">
        <v>2024</v>
      </c>
      <c r="R130" s="4">
        <v>92246668</v>
      </c>
    </row>
    <row r="131" spans="1:18" x14ac:dyDescent="0.25">
      <c r="A131" s="1" t="str">
        <f t="shared" si="13"/>
        <v>TO</v>
      </c>
      <c r="B131" t="s">
        <v>85</v>
      </c>
      <c r="C131">
        <v>40.64</v>
      </c>
      <c r="D131">
        <v>8.4700000000000006</v>
      </c>
      <c r="E131" t="s">
        <v>69</v>
      </c>
      <c r="F131" s="2" t="s">
        <v>101</v>
      </c>
      <c r="G131">
        <v>8</v>
      </c>
      <c r="H131">
        <v>1</v>
      </c>
      <c r="I131" t="s">
        <v>14</v>
      </c>
      <c r="J131">
        <v>3.0030000000000001</v>
      </c>
      <c r="K131">
        <v>1.4799</v>
      </c>
      <c r="L131">
        <v>0.77710000000000001</v>
      </c>
      <c r="M131">
        <v>1.6714</v>
      </c>
      <c r="N131">
        <f t="shared" si="11"/>
        <v>0.47489695249679031</v>
      </c>
      <c r="O131">
        <f t="shared" si="12"/>
        <v>0.78586604047858655</v>
      </c>
      <c r="P131" t="s">
        <v>104</v>
      </c>
      <c r="Q131">
        <v>2024</v>
      </c>
      <c r="R131" s="4">
        <v>92246668</v>
      </c>
    </row>
    <row r="132" spans="1:18" x14ac:dyDescent="0.25">
      <c r="A132" s="1" t="str">
        <f t="shared" si="13"/>
        <v>TO</v>
      </c>
      <c r="B132" t="s">
        <v>86</v>
      </c>
      <c r="C132">
        <v>38.74</v>
      </c>
      <c r="D132">
        <v>21.46</v>
      </c>
      <c r="E132" t="s">
        <v>19</v>
      </c>
      <c r="F132" s="2" t="s">
        <v>92</v>
      </c>
      <c r="G132">
        <v>3</v>
      </c>
      <c r="H132">
        <v>1</v>
      </c>
      <c r="I132" t="s">
        <v>13</v>
      </c>
      <c r="J132">
        <v>1.871</v>
      </c>
      <c r="K132">
        <v>7.1966000000000001</v>
      </c>
      <c r="L132">
        <v>3.0667</v>
      </c>
      <c r="M132">
        <v>7.8888999999999996</v>
      </c>
      <c r="N132">
        <f t="shared" si="11"/>
        <v>0.57386821554623013</v>
      </c>
      <c r="O132">
        <f t="shared" si="12"/>
        <v>0.85643482228028711</v>
      </c>
      <c r="P132" t="s">
        <v>104</v>
      </c>
      <c r="Q132">
        <v>2024</v>
      </c>
      <c r="R132" s="4">
        <v>92246666</v>
      </c>
    </row>
    <row r="133" spans="1:18" x14ac:dyDescent="0.25">
      <c r="A133" s="1" t="str">
        <f t="shared" si="13"/>
        <v>TO</v>
      </c>
      <c r="B133" t="s">
        <v>86</v>
      </c>
      <c r="C133">
        <v>38.74</v>
      </c>
      <c r="D133">
        <v>21.46</v>
      </c>
      <c r="E133" t="s">
        <v>19</v>
      </c>
      <c r="F133" s="2" t="s">
        <v>92</v>
      </c>
      <c r="G133">
        <v>3</v>
      </c>
      <c r="H133">
        <v>1</v>
      </c>
      <c r="I133" t="s">
        <v>14</v>
      </c>
      <c r="J133">
        <v>2.093</v>
      </c>
      <c r="K133">
        <v>4.5993000000000004</v>
      </c>
      <c r="L133">
        <v>2.0145</v>
      </c>
      <c r="M133">
        <v>5.1523000000000003</v>
      </c>
      <c r="N133">
        <f t="shared" si="11"/>
        <v>0.56199856499902168</v>
      </c>
      <c r="O133">
        <f t="shared" si="12"/>
        <v>0.82376187137484869</v>
      </c>
      <c r="P133" t="s">
        <v>104</v>
      </c>
      <c r="Q133">
        <v>2024</v>
      </c>
      <c r="R133" s="4">
        <v>92246666</v>
      </c>
    </row>
    <row r="134" spans="1:18" x14ac:dyDescent="0.25">
      <c r="A134" s="1" t="str">
        <f t="shared" si="13"/>
        <v>TO</v>
      </c>
      <c r="B134" t="s">
        <v>87</v>
      </c>
      <c r="C134">
        <v>24.92</v>
      </c>
      <c r="D134">
        <v>12.71</v>
      </c>
      <c r="E134" t="s">
        <v>69</v>
      </c>
      <c r="F134" s="3" t="s">
        <v>101</v>
      </c>
      <c r="G134">
        <v>5</v>
      </c>
      <c r="H134">
        <v>1</v>
      </c>
      <c r="I134" t="s">
        <v>13</v>
      </c>
      <c r="J134">
        <v>3.1949999999999998</v>
      </c>
      <c r="K134">
        <v>2.0587</v>
      </c>
      <c r="L134">
        <v>1.0501</v>
      </c>
      <c r="M134">
        <v>2.3460000000000001</v>
      </c>
      <c r="N134">
        <f t="shared" si="11"/>
        <v>0.48992082382085778</v>
      </c>
      <c r="O134">
        <f t="shared" si="12"/>
        <v>0.77830079481441461</v>
      </c>
      <c r="P134" t="s">
        <v>104</v>
      </c>
      <c r="Q134">
        <v>2024</v>
      </c>
      <c r="R134" s="4">
        <v>92246644</v>
      </c>
    </row>
    <row r="135" spans="1:18" x14ac:dyDescent="0.25">
      <c r="A135" s="1" t="str">
        <f t="shared" si="13"/>
        <v>TO</v>
      </c>
      <c r="B135" t="s">
        <v>87</v>
      </c>
      <c r="C135">
        <v>24.92</v>
      </c>
      <c r="D135">
        <v>12.71</v>
      </c>
      <c r="E135" t="s">
        <v>69</v>
      </c>
      <c r="F135" s="3" t="s">
        <v>101</v>
      </c>
      <c r="G135">
        <v>5</v>
      </c>
      <c r="H135">
        <v>1</v>
      </c>
      <c r="I135" t="s">
        <v>14</v>
      </c>
      <c r="J135">
        <v>3.5209999999999999</v>
      </c>
      <c r="K135">
        <v>1.4550000000000001</v>
      </c>
      <c r="L135">
        <v>0.74209999999999998</v>
      </c>
      <c r="M135">
        <v>1.7030000000000001</v>
      </c>
      <c r="N135">
        <f t="shared" si="11"/>
        <v>0.48996563573883167</v>
      </c>
      <c r="O135">
        <f t="shared" si="12"/>
        <v>0.74190862732854623</v>
      </c>
      <c r="P135" t="s">
        <v>104</v>
      </c>
      <c r="Q135">
        <v>2024</v>
      </c>
      <c r="R135" s="4">
        <v>92246644</v>
      </c>
    </row>
  </sheetData>
  <sortState xmlns:xlrd2="http://schemas.microsoft.com/office/spreadsheetml/2017/richdata2" ref="A2:R135">
    <sortCondition ref="B2:B135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7d49e9f-89e1-4aa0-99a3-d35b57b2ba03}" enabled="0" method="" siteId="{27d49e9f-89e1-4aa0-99a3-d35b57b2ba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df2_reshaped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Ogonna P Eli</cp:lastModifiedBy>
  <dcterms:created xsi:type="dcterms:W3CDTF">2025-10-02T18:25:22Z</dcterms:created>
  <dcterms:modified xsi:type="dcterms:W3CDTF">2025-10-02T23:41:27Z</dcterms:modified>
</cp:coreProperties>
</file>